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FatimaUrpi.LAPTOP-T23TL5KO\Downloads\"/>
    </mc:Choice>
  </mc:AlternateContent>
  <xr:revisionPtr revIDLastSave="0" documentId="8_{810DB7E8-33F9-408A-840B-1C84385FB423}" xr6:coauthVersionLast="47" xr6:coauthVersionMax="47" xr10:uidLastSave="{00000000-0000-0000-0000-000000000000}"/>
  <bookViews>
    <workbookView xWindow="6528" yWindow="132" windowWidth="16452" windowHeight="10716" xr2:uid="{00000000-000D-0000-FFFF-FFFF00000000}"/>
  </bookViews>
  <sheets>
    <sheet name="TAREO_PRACTICANTES" sheetId="21" r:id="rId1"/>
    <sheet name="TAREO_PLANILLA" sheetId="22" r:id="rId2"/>
    <sheet name="CONFIG" sheetId="15" state="hidden" r:id="rId3"/>
    <sheet name="LEYENDA" sheetId="23" r:id="rId4"/>
    <sheet name="PARAMETROS" sheetId="17" r:id="rId5"/>
  </sheets>
  <definedNames>
    <definedName name="EstadoPeriodo" localSheetId="1">tblEstados[CODIGO]</definedName>
    <definedName name="EstadoPeriodo" localSheetId="0">tblEstados[CODIGO]</definedName>
    <definedName name="EstadoPeriodo">tblEstados[CODIGO]</definedName>
    <definedName name="Estados" localSheetId="1">tblEstados[CODIGO]</definedName>
    <definedName name="Estados" localSheetId="0">tblEstados[CODIGO]</definedName>
    <definedName name="Estados">tblEstados[CODIGO]</definedName>
    <definedName name="Lista_Periodo" localSheetId="1">tbl_Periodo[Id_Periodo]</definedName>
    <definedName name="Lista_Periodo" localSheetId="0">tbl_Periodo[Id_Periodo]</definedName>
    <definedName name="Lista_Periodo">tbl_Periodo[Id_Periodo]</definedName>
    <definedName name="Lista_TipoTrabajador" localSheetId="1">tbl_Trabajador[Tipo_Trab]</definedName>
    <definedName name="Lista_TipoTrabajador" localSheetId="0">tbl_Trabajador[Tipo_Trab]</definedName>
    <definedName name="Lista_TipoTrabajador">tbl_Trabajador[Tipo_Trab]</definedName>
    <definedName name="ListaArea" localSheetId="1">tbl_Area[Area]</definedName>
    <definedName name="ListaArea" localSheetId="0">tbl_Area[Area]</definedName>
    <definedName name="ListaArea">tbl_Area[Area]</definedName>
    <definedName name="ListaSubArea" localSheetId="1">tbl_SubArea[SubArea]</definedName>
    <definedName name="ListaSubArea" localSheetId="0">tbl_SubArea[SubArea]</definedName>
    <definedName name="ListaSubArea">tbl_SubArea[SubArea]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A29" i="21" l="1"/>
  <c r="BA29" i="22"/>
  <c r="AZ29" i="22"/>
  <c r="AY29" i="22"/>
  <c r="AX29" i="22"/>
  <c r="AW29" i="22"/>
  <c r="AV29" i="22"/>
  <c r="AU29" i="22"/>
  <c r="AT29" i="22"/>
  <c r="AS29" i="22"/>
  <c r="AR29" i="22"/>
  <c r="AQ29" i="22"/>
  <c r="AP29" i="22"/>
  <c r="AO29" i="22"/>
  <c r="AN29" i="22"/>
  <c r="AM29" i="22"/>
  <c r="BA28" i="22"/>
  <c r="AZ28" i="22"/>
  <c r="AY28" i="22"/>
  <c r="AX28" i="22"/>
  <c r="AW28" i="22"/>
  <c r="AV28" i="22"/>
  <c r="AU28" i="22"/>
  <c r="AT28" i="22"/>
  <c r="AS28" i="22"/>
  <c r="AR28" i="22"/>
  <c r="AQ28" i="22"/>
  <c r="AP28" i="22"/>
  <c r="AO28" i="22"/>
  <c r="AN28" i="22"/>
  <c r="AM28" i="22"/>
  <c r="BA27" i="22"/>
  <c r="AZ27" i="22"/>
  <c r="AY27" i="22"/>
  <c r="AX27" i="22"/>
  <c r="AW27" i="22"/>
  <c r="AV27" i="22"/>
  <c r="AU27" i="22"/>
  <c r="AT27" i="22"/>
  <c r="AS27" i="22"/>
  <c r="AR27" i="22"/>
  <c r="AQ27" i="22"/>
  <c r="AP27" i="22"/>
  <c r="AO27" i="22"/>
  <c r="AN27" i="22"/>
  <c r="AM27" i="22"/>
  <c r="BA26" i="22"/>
  <c r="AZ26" i="22"/>
  <c r="AY26" i="22"/>
  <c r="AX26" i="22"/>
  <c r="AW26" i="22"/>
  <c r="AV26" i="22"/>
  <c r="AU26" i="22"/>
  <c r="AT26" i="22"/>
  <c r="AS26" i="22"/>
  <c r="AR26" i="22"/>
  <c r="AQ26" i="22"/>
  <c r="AP26" i="22"/>
  <c r="AO26" i="22"/>
  <c r="AN26" i="22"/>
  <c r="AM26" i="22"/>
  <c r="BA25" i="22"/>
  <c r="AZ25" i="22"/>
  <c r="AY25" i="22"/>
  <c r="AX25" i="22"/>
  <c r="AW25" i="22"/>
  <c r="AV25" i="22"/>
  <c r="AU25" i="22"/>
  <c r="AT25" i="22"/>
  <c r="AS25" i="22"/>
  <c r="AR25" i="22"/>
  <c r="AQ25" i="22"/>
  <c r="AP25" i="22"/>
  <c r="AO25" i="22"/>
  <c r="AN25" i="22"/>
  <c r="AM25" i="22"/>
  <c r="BA24" i="22"/>
  <c r="AZ24" i="22"/>
  <c r="AY24" i="22"/>
  <c r="AX24" i="22"/>
  <c r="AW24" i="22"/>
  <c r="AV24" i="22"/>
  <c r="AU24" i="22"/>
  <c r="AT24" i="22"/>
  <c r="AS24" i="22"/>
  <c r="AR24" i="22"/>
  <c r="AQ24" i="22"/>
  <c r="AP24" i="22"/>
  <c r="AO24" i="22"/>
  <c r="AN24" i="22"/>
  <c r="AM24" i="22"/>
  <c r="BA23" i="22"/>
  <c r="AZ23" i="22"/>
  <c r="AY23" i="22"/>
  <c r="AX23" i="22"/>
  <c r="AW23" i="22"/>
  <c r="AV23" i="22"/>
  <c r="AU23" i="22"/>
  <c r="AT23" i="22"/>
  <c r="AS23" i="22"/>
  <c r="AR23" i="22"/>
  <c r="AQ23" i="22"/>
  <c r="AP23" i="22"/>
  <c r="AO23" i="22"/>
  <c r="AN23" i="22"/>
  <c r="AM23" i="22"/>
  <c r="BA22" i="22"/>
  <c r="AZ22" i="22"/>
  <c r="AY22" i="22"/>
  <c r="AX22" i="22"/>
  <c r="AW22" i="22"/>
  <c r="AV22" i="22"/>
  <c r="AU22" i="22"/>
  <c r="AT22" i="22"/>
  <c r="AS22" i="22"/>
  <c r="AR22" i="22"/>
  <c r="AQ22" i="22"/>
  <c r="AP22" i="22"/>
  <c r="AO22" i="22"/>
  <c r="AN22" i="22"/>
  <c r="AM22" i="22"/>
  <c r="BA21" i="22"/>
  <c r="AZ21" i="22"/>
  <c r="AY21" i="22"/>
  <c r="AX21" i="22"/>
  <c r="AW21" i="22"/>
  <c r="AV21" i="22"/>
  <c r="AU21" i="22"/>
  <c r="AT21" i="22"/>
  <c r="AS21" i="22"/>
  <c r="AR21" i="22"/>
  <c r="AQ21" i="22"/>
  <c r="AP21" i="22"/>
  <c r="AO21" i="22"/>
  <c r="AN21" i="22"/>
  <c r="AM21" i="22"/>
  <c r="BA20" i="22"/>
  <c r="AZ20" i="22"/>
  <c r="AY20" i="22"/>
  <c r="AX20" i="22"/>
  <c r="AW20" i="22"/>
  <c r="AV20" i="22"/>
  <c r="AU20" i="22"/>
  <c r="AT20" i="22"/>
  <c r="AS20" i="22"/>
  <c r="AR20" i="22"/>
  <c r="AQ20" i="22"/>
  <c r="AP20" i="22"/>
  <c r="AO20" i="22"/>
  <c r="AN20" i="22"/>
  <c r="AM20" i="22"/>
  <c r="BA19" i="22"/>
  <c r="AZ19" i="22"/>
  <c r="AY19" i="22"/>
  <c r="AX19" i="22"/>
  <c r="AW19" i="22"/>
  <c r="AV19" i="22"/>
  <c r="AU19" i="22"/>
  <c r="AT19" i="22"/>
  <c r="AS19" i="22"/>
  <c r="AR19" i="22"/>
  <c r="AQ19" i="22"/>
  <c r="AP19" i="22"/>
  <c r="AO19" i="22"/>
  <c r="AN19" i="22"/>
  <c r="AM19" i="22"/>
  <c r="BA18" i="22"/>
  <c r="AZ18" i="22"/>
  <c r="AY18" i="22"/>
  <c r="AX18" i="22"/>
  <c r="AW18" i="22"/>
  <c r="AV18" i="22"/>
  <c r="AU18" i="22"/>
  <c r="AT18" i="22"/>
  <c r="AS18" i="22"/>
  <c r="AR18" i="22"/>
  <c r="AQ18" i="22"/>
  <c r="AP18" i="22"/>
  <c r="AO18" i="22"/>
  <c r="AN18" i="22"/>
  <c r="AM18" i="22"/>
  <c r="BA17" i="22"/>
  <c r="AZ17" i="22"/>
  <c r="AY17" i="22"/>
  <c r="AX17" i="22"/>
  <c r="AW17" i="22"/>
  <c r="AV17" i="22"/>
  <c r="AU17" i="22"/>
  <c r="AT17" i="22"/>
  <c r="AS17" i="22"/>
  <c r="AR17" i="22"/>
  <c r="AQ17" i="22"/>
  <c r="AP17" i="22"/>
  <c r="AO17" i="22"/>
  <c r="AN17" i="22"/>
  <c r="AM17" i="22"/>
  <c r="BA16" i="22"/>
  <c r="AZ16" i="22"/>
  <c r="AY16" i="22"/>
  <c r="AX16" i="22"/>
  <c r="AW16" i="22"/>
  <c r="AV16" i="22"/>
  <c r="AU16" i="22"/>
  <c r="AT16" i="22"/>
  <c r="AS16" i="22"/>
  <c r="AR16" i="22"/>
  <c r="AQ16" i="22"/>
  <c r="AP16" i="22"/>
  <c r="AO16" i="22"/>
  <c r="AN16" i="22"/>
  <c r="AM16" i="22"/>
  <c r="BA15" i="22"/>
  <c r="AZ15" i="22"/>
  <c r="AY15" i="22"/>
  <c r="AX15" i="22"/>
  <c r="AW15" i="22"/>
  <c r="AV15" i="22"/>
  <c r="AU15" i="22"/>
  <c r="AT15" i="22"/>
  <c r="AS15" i="22"/>
  <c r="AR15" i="22"/>
  <c r="AQ15" i="22"/>
  <c r="AP15" i="22"/>
  <c r="AO15" i="22"/>
  <c r="AN15" i="22"/>
  <c r="AM15" i="22"/>
  <c r="BA14" i="22"/>
  <c r="AZ14" i="22"/>
  <c r="AY14" i="22"/>
  <c r="AX14" i="22"/>
  <c r="AW14" i="22"/>
  <c r="AV14" i="22"/>
  <c r="AU14" i="22"/>
  <c r="AT14" i="22"/>
  <c r="AS14" i="22"/>
  <c r="AR14" i="22"/>
  <c r="AQ14" i="22"/>
  <c r="AP14" i="22"/>
  <c r="AO14" i="22"/>
  <c r="AN14" i="22"/>
  <c r="AM14" i="22"/>
  <c r="BA13" i="22"/>
  <c r="AZ13" i="22"/>
  <c r="AY13" i="22"/>
  <c r="AX13" i="22"/>
  <c r="AW13" i="22"/>
  <c r="AV13" i="22"/>
  <c r="AU13" i="22"/>
  <c r="AT13" i="22"/>
  <c r="AS13" i="22"/>
  <c r="AR13" i="22"/>
  <c r="AQ13" i="22"/>
  <c r="AP13" i="22"/>
  <c r="AO13" i="22"/>
  <c r="AN13" i="22"/>
  <c r="AM13" i="22"/>
  <c r="BA12" i="22"/>
  <c r="AZ12" i="22"/>
  <c r="AY12" i="22"/>
  <c r="AX12" i="22"/>
  <c r="AW12" i="22"/>
  <c r="AV12" i="22"/>
  <c r="AU12" i="22"/>
  <c r="AT12" i="22"/>
  <c r="AS12" i="22"/>
  <c r="AR12" i="22"/>
  <c r="AQ12" i="22"/>
  <c r="AP12" i="22"/>
  <c r="AO12" i="22"/>
  <c r="AN12" i="22"/>
  <c r="AM12" i="22"/>
  <c r="BA11" i="22"/>
  <c r="AZ11" i="22"/>
  <c r="AY11" i="22"/>
  <c r="AX11" i="22"/>
  <c r="AW11" i="22"/>
  <c r="AV11" i="22"/>
  <c r="AU11" i="22"/>
  <c r="AT11" i="22"/>
  <c r="AS11" i="22"/>
  <c r="AR11" i="22"/>
  <c r="AQ11" i="22"/>
  <c r="AP11" i="22"/>
  <c r="AO11" i="22"/>
  <c r="AN11" i="22"/>
  <c r="AM11" i="22"/>
  <c r="BA10" i="22"/>
  <c r="BA30" i="22" s="1"/>
  <c r="AZ10" i="22"/>
  <c r="AZ30" i="22" s="1"/>
  <c r="AY10" i="22"/>
  <c r="AY30" i="22" s="1"/>
  <c r="AX10" i="22"/>
  <c r="AX30" i="22" s="1"/>
  <c r="AW10" i="22"/>
  <c r="AW30" i="22" s="1"/>
  <c r="AV10" i="22"/>
  <c r="AV30" i="22" s="1"/>
  <c r="AU10" i="22"/>
  <c r="AU30" i="22" s="1"/>
  <c r="AT10" i="22"/>
  <c r="AT30" i="22" s="1"/>
  <c r="AS10" i="22"/>
  <c r="AS30" i="22" s="1"/>
  <c r="AR10" i="22"/>
  <c r="AR30" i="22" s="1"/>
  <c r="AQ10" i="22"/>
  <c r="AQ30" i="22" s="1"/>
  <c r="AP10" i="22"/>
  <c r="AP30" i="22" s="1"/>
  <c r="AO10" i="22"/>
  <c r="AO30" i="22" s="1"/>
  <c r="AN10" i="22"/>
  <c r="AN30" i="22" s="1"/>
  <c r="AM10" i="22"/>
  <c r="AM30" i="22" s="1"/>
  <c r="AL8" i="22"/>
  <c r="AK8" i="22"/>
  <c r="AJ8" i="22"/>
  <c r="AI8" i="22"/>
  <c r="AH8" i="22"/>
  <c r="AG8" i="22"/>
  <c r="AF8" i="22"/>
  <c r="AE8" i="22"/>
  <c r="AD8" i="22"/>
  <c r="AC8" i="22"/>
  <c r="AB8" i="22"/>
  <c r="AA8" i="22"/>
  <c r="Z8" i="22"/>
  <c r="Y8" i="22"/>
  <c r="X8" i="22"/>
  <c r="W8" i="22"/>
  <c r="V8" i="22"/>
  <c r="U8" i="22"/>
  <c r="T8" i="22"/>
  <c r="S8" i="22"/>
  <c r="R8" i="22"/>
  <c r="Q8" i="22"/>
  <c r="P8" i="22"/>
  <c r="O8" i="22"/>
  <c r="N8" i="22"/>
  <c r="M8" i="22"/>
  <c r="L8" i="22"/>
  <c r="K8" i="22"/>
  <c r="J8" i="22"/>
  <c r="I8" i="22"/>
  <c r="H8" i="22"/>
  <c r="AM10" i="21"/>
  <c r="AM11" i="21"/>
  <c r="AM12" i="21"/>
  <c r="AM13" i="21"/>
  <c r="AM14" i="21"/>
  <c r="AM15" i="21"/>
  <c r="AM16" i="21"/>
  <c r="AM17" i="21"/>
  <c r="AM18" i="21"/>
  <c r="AM19" i="21"/>
  <c r="AM20" i="21"/>
  <c r="AM21" i="21"/>
  <c r="AM22" i="21"/>
  <c r="AM23" i="21"/>
  <c r="AM24" i="21"/>
  <c r="AM25" i="21"/>
  <c r="AM26" i="21"/>
  <c r="AM27" i="21"/>
  <c r="AM28" i="21"/>
  <c r="AM29" i="21"/>
  <c r="AN11" i="21"/>
  <c r="AN12" i="21"/>
  <c r="AN13" i="21"/>
  <c r="AN14" i="21"/>
  <c r="AN15" i="21"/>
  <c r="AN16" i="21"/>
  <c r="AN17" i="21"/>
  <c r="AN18" i="21"/>
  <c r="AN19" i="21"/>
  <c r="AN20" i="21"/>
  <c r="AN21" i="21"/>
  <c r="AN22" i="21"/>
  <c r="AN23" i="21"/>
  <c r="AN24" i="21"/>
  <c r="AN25" i="21"/>
  <c r="AN26" i="21"/>
  <c r="AN27" i="21"/>
  <c r="AN28" i="21"/>
  <c r="AN29" i="21"/>
  <c r="AN10" i="21"/>
  <c r="AO11" i="21"/>
  <c r="AO12" i="21"/>
  <c r="AO13" i="21"/>
  <c r="AO14" i="21"/>
  <c r="AO15" i="21"/>
  <c r="AO16" i="21"/>
  <c r="AO17" i="21"/>
  <c r="AO18" i="21"/>
  <c r="AO19" i="21"/>
  <c r="AO20" i="21"/>
  <c r="AO21" i="21"/>
  <c r="AO22" i="21"/>
  <c r="AO23" i="21"/>
  <c r="AO24" i="21"/>
  <c r="AO25" i="21"/>
  <c r="AO26" i="21"/>
  <c r="AO27" i="21"/>
  <c r="AO28" i="21"/>
  <c r="AO29" i="21"/>
  <c r="AO10" i="21"/>
  <c r="AP11" i="21"/>
  <c r="AP12" i="21"/>
  <c r="AP13" i="21"/>
  <c r="AP14" i="21"/>
  <c r="AP15" i="21"/>
  <c r="AP16" i="21"/>
  <c r="AP17" i="21"/>
  <c r="AP18" i="21"/>
  <c r="AP19" i="21"/>
  <c r="AP20" i="21"/>
  <c r="AP21" i="21"/>
  <c r="AP22" i="21"/>
  <c r="AP23" i="21"/>
  <c r="AP24" i="21"/>
  <c r="AP25" i="21"/>
  <c r="AP26" i="21"/>
  <c r="AP27" i="21"/>
  <c r="AP28" i="21"/>
  <c r="AP29" i="21"/>
  <c r="AP10" i="21"/>
  <c r="AQ11" i="21"/>
  <c r="AQ12" i="21"/>
  <c r="AQ13" i="21"/>
  <c r="AQ14" i="21"/>
  <c r="AQ15" i="21"/>
  <c r="AQ16" i="21"/>
  <c r="AQ17" i="21"/>
  <c r="AQ18" i="21"/>
  <c r="AQ19" i="21"/>
  <c r="AQ20" i="21"/>
  <c r="AQ21" i="21"/>
  <c r="AQ22" i="21"/>
  <c r="AQ23" i="21"/>
  <c r="AQ24" i="21"/>
  <c r="AQ25" i="21"/>
  <c r="AQ26" i="21"/>
  <c r="AQ27" i="21"/>
  <c r="AQ28" i="21"/>
  <c r="AQ29" i="21"/>
  <c r="AQ10" i="21"/>
  <c r="AR11" i="21"/>
  <c r="AR12" i="21"/>
  <c r="AR13" i="21"/>
  <c r="AR14" i="21"/>
  <c r="AR15" i="21"/>
  <c r="AR16" i="21"/>
  <c r="AR17" i="21"/>
  <c r="AR18" i="21"/>
  <c r="AR19" i="21"/>
  <c r="AR20" i="21"/>
  <c r="AR21" i="21"/>
  <c r="AR22" i="21"/>
  <c r="AR23" i="21"/>
  <c r="AR24" i="21"/>
  <c r="AR25" i="21"/>
  <c r="AR26" i="21"/>
  <c r="AR27" i="21"/>
  <c r="AR28" i="21"/>
  <c r="AR29" i="21"/>
  <c r="AR10" i="21"/>
  <c r="AS11" i="21"/>
  <c r="AS12" i="21"/>
  <c r="AS13" i="21"/>
  <c r="AS14" i="21"/>
  <c r="AS15" i="21"/>
  <c r="AS16" i="21"/>
  <c r="AS17" i="21"/>
  <c r="AS18" i="21"/>
  <c r="AS19" i="21"/>
  <c r="AS20" i="21"/>
  <c r="AS21" i="21"/>
  <c r="AS22" i="21"/>
  <c r="AS23" i="21"/>
  <c r="AS24" i="21"/>
  <c r="AS25" i="21"/>
  <c r="AS26" i="21"/>
  <c r="AS27" i="21"/>
  <c r="AS28" i="21"/>
  <c r="AS29" i="21"/>
  <c r="AS10" i="21"/>
  <c r="AT11" i="21"/>
  <c r="AT12" i="21"/>
  <c r="AT13" i="21"/>
  <c r="AT14" i="21"/>
  <c r="AT15" i="21"/>
  <c r="AT16" i="21"/>
  <c r="AT17" i="21"/>
  <c r="AT18" i="21"/>
  <c r="AT19" i="21"/>
  <c r="AT20" i="21"/>
  <c r="AT21" i="21"/>
  <c r="AT22" i="21"/>
  <c r="AT23" i="21"/>
  <c r="AT24" i="21"/>
  <c r="AT25" i="21"/>
  <c r="AT26" i="21"/>
  <c r="AT27" i="21"/>
  <c r="AT28" i="21"/>
  <c r="AT29" i="21"/>
  <c r="AT10" i="21"/>
  <c r="AU11" i="21"/>
  <c r="AU12" i="21"/>
  <c r="AU13" i="21"/>
  <c r="AU14" i="21"/>
  <c r="AU15" i="21"/>
  <c r="AU16" i="21"/>
  <c r="AU17" i="21"/>
  <c r="AU18" i="21"/>
  <c r="AU19" i="21"/>
  <c r="AU20" i="21"/>
  <c r="AU21" i="21"/>
  <c r="AU22" i="21"/>
  <c r="AU23" i="21"/>
  <c r="AU24" i="21"/>
  <c r="AU25" i="21"/>
  <c r="AU26" i="21"/>
  <c r="AU27" i="21"/>
  <c r="AU28" i="21"/>
  <c r="AU29" i="21"/>
  <c r="AU10" i="21"/>
  <c r="AV11" i="21"/>
  <c r="AV12" i="21"/>
  <c r="AV13" i="21"/>
  <c r="AV14" i="21"/>
  <c r="AV15" i="21"/>
  <c r="AV16" i="21"/>
  <c r="AV17" i="21"/>
  <c r="AV18" i="21"/>
  <c r="AV19" i="21"/>
  <c r="AV20" i="21"/>
  <c r="AV21" i="21"/>
  <c r="AV22" i="21"/>
  <c r="AV23" i="21"/>
  <c r="AV24" i="21"/>
  <c r="AV25" i="21"/>
  <c r="AV26" i="21"/>
  <c r="AV27" i="21"/>
  <c r="AV28" i="21"/>
  <c r="AV29" i="21"/>
  <c r="AV10" i="21"/>
  <c r="AW11" i="21"/>
  <c r="AW12" i="21"/>
  <c r="AW13" i="21"/>
  <c r="AW14" i="21"/>
  <c r="AW15" i="21"/>
  <c r="AW16" i="21"/>
  <c r="AW17" i="21"/>
  <c r="AW18" i="21"/>
  <c r="AW19" i="21"/>
  <c r="AW20" i="21"/>
  <c r="AW21" i="21"/>
  <c r="AW22" i="21"/>
  <c r="AW23" i="21"/>
  <c r="AW24" i="21"/>
  <c r="AW25" i="21"/>
  <c r="AW26" i="21"/>
  <c r="AW27" i="21"/>
  <c r="AW28" i="21"/>
  <c r="AW29" i="21"/>
  <c r="AW10" i="21"/>
  <c r="AX11" i="21"/>
  <c r="AX12" i="21"/>
  <c r="AX13" i="21"/>
  <c r="AX14" i="21"/>
  <c r="AX15" i="21"/>
  <c r="AX16" i="21"/>
  <c r="AX17" i="21"/>
  <c r="AX18" i="21"/>
  <c r="AX19" i="21"/>
  <c r="AX20" i="21"/>
  <c r="AX21" i="21"/>
  <c r="AX22" i="21"/>
  <c r="AX23" i="21"/>
  <c r="AX24" i="21"/>
  <c r="AX25" i="21"/>
  <c r="AX26" i="21"/>
  <c r="AX27" i="21"/>
  <c r="AX28" i="21"/>
  <c r="AX29" i="21"/>
  <c r="AX10" i="21"/>
  <c r="AY10" i="21"/>
  <c r="AY11" i="21"/>
  <c r="AY12" i="21"/>
  <c r="AY13" i="21"/>
  <c r="AY14" i="21"/>
  <c r="AY15" i="21"/>
  <c r="AY16" i="21"/>
  <c r="AY17" i="21"/>
  <c r="AY18" i="21"/>
  <c r="AY19" i="21"/>
  <c r="AY20" i="21"/>
  <c r="AY21" i="21"/>
  <c r="AY22" i="21"/>
  <c r="AY23" i="21"/>
  <c r="AY24" i="21"/>
  <c r="AY25" i="21"/>
  <c r="AY26" i="21"/>
  <c r="AY27" i="21"/>
  <c r="AY28" i="21"/>
  <c r="AY29" i="21"/>
  <c r="AZ12" i="21"/>
  <c r="AZ13" i="21"/>
  <c r="AZ14" i="21"/>
  <c r="AZ15" i="21"/>
  <c r="AZ16" i="21"/>
  <c r="AZ17" i="21"/>
  <c r="AZ18" i="21"/>
  <c r="AZ19" i="21"/>
  <c r="AZ20" i="21"/>
  <c r="AZ21" i="21"/>
  <c r="AZ22" i="21"/>
  <c r="AZ23" i="21"/>
  <c r="AZ24" i="21"/>
  <c r="AZ25" i="21"/>
  <c r="AZ26" i="21"/>
  <c r="AZ27" i="21"/>
  <c r="AZ28" i="21"/>
  <c r="AZ29" i="21"/>
  <c r="AZ11" i="21"/>
  <c r="AZ10" i="21"/>
  <c r="BA10" i="21"/>
  <c r="BA28" i="21"/>
  <c r="BA27" i="21"/>
  <c r="BA26" i="21"/>
  <c r="BA25" i="21"/>
  <c r="BA24" i="21"/>
  <c r="BA23" i="21"/>
  <c r="BA22" i="21"/>
  <c r="BA21" i="21"/>
  <c r="BA20" i="21"/>
  <c r="BA19" i="21"/>
  <c r="BA18" i="21"/>
  <c r="BA17" i="21"/>
  <c r="BA16" i="21"/>
  <c r="BA15" i="21"/>
  <c r="BA14" i="21"/>
  <c r="BA13" i="21"/>
  <c r="BA12" i="21"/>
  <c r="BA11" i="21"/>
  <c r="AL8" i="21"/>
  <c r="AK8" i="21"/>
  <c r="AJ8" i="21"/>
  <c r="AI8" i="21"/>
  <c r="AH8" i="21"/>
  <c r="AG8" i="21"/>
  <c r="AF8" i="21"/>
  <c r="AE8" i="21"/>
  <c r="AD8" i="21"/>
  <c r="AC8" i="21"/>
  <c r="AB8" i="21"/>
  <c r="AA8" i="21"/>
  <c r="Z8" i="21"/>
  <c r="Y8" i="21"/>
  <c r="X8" i="21"/>
  <c r="W8" i="21"/>
  <c r="V8" i="21"/>
  <c r="U8" i="21"/>
  <c r="T8" i="21"/>
  <c r="S8" i="21"/>
  <c r="R8" i="21"/>
  <c r="Q8" i="21"/>
  <c r="P8" i="21"/>
  <c r="O8" i="21"/>
  <c r="N8" i="21"/>
  <c r="M8" i="21"/>
  <c r="L8" i="21"/>
  <c r="K8" i="21"/>
  <c r="J8" i="21"/>
  <c r="I8" i="21"/>
  <c r="H8" i="21"/>
  <c r="AQ30" i="21" l="1"/>
  <c r="AY30" i="21"/>
  <c r="AS30" i="21"/>
  <c r="BA30" i="21"/>
  <c r="AO30" i="21"/>
  <c r="AR30" i="21"/>
  <c r="AT30" i="21"/>
  <c r="AZ30" i="21"/>
  <c r="AU30" i="21"/>
  <c r="AM30" i="21"/>
  <c r="AN30" i="21"/>
  <c r="AV30" i="21"/>
  <c r="AW30" i="21"/>
  <c r="AP30" i="21"/>
  <c r="AX30" i="2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Fatima Urpi</author>
  </authors>
  <commentList>
    <comment ref="B9" authorId="0" shapeId="0" xr:uid="{AAE932CC-1C9C-4EB2-9AF8-62A1D273C553}">
      <text>
        <r>
          <rPr>
            <sz val="9"/>
            <color indexed="81"/>
            <rFont val="Tahoma"/>
            <family val="2"/>
          </rPr>
          <t>Ingrese solo números. Campo válido para DNI o CEX. Máximo 9 dígitos.</t>
        </r>
      </text>
    </comment>
    <comment ref="C9" authorId="0" shapeId="0" xr:uid="{12226CE7-7DC8-4A1F-A649-23E0F09BF776}">
      <text>
        <r>
          <rPr>
            <sz val="9"/>
            <color indexed="81"/>
            <rFont val="Tahoma"/>
            <family val="2"/>
          </rPr>
          <t>Ingrese apellidos y nombres completos del colaborador.</t>
        </r>
      </text>
    </comment>
    <comment ref="D9" authorId="0" shapeId="0" xr:uid="{43EC31F9-242B-473F-B48D-1396206F45D7}">
      <text>
        <r>
          <rPr>
            <sz val="9"/>
            <color indexed="81"/>
            <rFont val="Tahoma"/>
            <family val="2"/>
          </rPr>
          <t>Área asignada. Por defecto se cargará el área seleccionada.</t>
        </r>
      </text>
    </comment>
    <comment ref="F9" authorId="0" shapeId="0" xr:uid="{28C7C952-47B1-4CF2-8392-46B0731083A1}">
      <text>
        <r>
          <rPr>
            <sz val="9"/>
            <color indexed="81"/>
            <rFont val="Tahoma"/>
            <family val="2"/>
          </rPr>
          <t>Campo opcional. Completar solo si se requiere identificar el cargo.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Fatima Urpi</author>
  </authors>
  <commentList>
    <comment ref="B9" authorId="0" shapeId="0" xr:uid="{40CF56B8-1562-4441-8EDD-D71B5E68C42B}">
      <text>
        <r>
          <rPr>
            <sz val="9"/>
            <color indexed="81"/>
            <rFont val="Tahoma"/>
            <family val="2"/>
          </rPr>
          <t>Ingrese solo números. Campo válido para DNI o CEX. Máximo 9 dígitos.</t>
        </r>
      </text>
    </comment>
    <comment ref="C9" authorId="0" shapeId="0" xr:uid="{238B0D3B-D7E8-45CA-8587-870207409440}">
      <text>
        <r>
          <rPr>
            <sz val="9"/>
            <color indexed="81"/>
            <rFont val="Tahoma"/>
            <family val="2"/>
          </rPr>
          <t>Ingrese apellidos y nombres completos del colaborador.</t>
        </r>
      </text>
    </comment>
    <comment ref="D9" authorId="0" shapeId="0" xr:uid="{99749C8A-7556-449C-AD04-655EF3B8D969}">
      <text>
        <r>
          <rPr>
            <sz val="9"/>
            <color indexed="81"/>
            <rFont val="Tahoma"/>
            <family val="2"/>
          </rPr>
          <t>Área asignada. Por defecto se cargará el área seleccionada.</t>
        </r>
      </text>
    </comment>
    <comment ref="F9" authorId="0" shapeId="0" xr:uid="{60640C0B-87E3-46B5-86AC-D9765071D5D4}">
      <text>
        <r>
          <rPr>
            <sz val="9"/>
            <color indexed="81"/>
            <rFont val="Tahoma"/>
            <family val="2"/>
          </rPr>
          <t>Campo opcional. Completar solo si se requiere identificar el cargo.</t>
        </r>
      </text>
    </comment>
  </commentList>
</comments>
</file>

<file path=xl/sharedStrings.xml><?xml version="1.0" encoding="utf-8"?>
<sst xmlns="http://schemas.openxmlformats.org/spreadsheetml/2006/main" count="340" uniqueCount="205">
  <si>
    <t>CONTROL DE TAREO</t>
  </si>
  <si>
    <t>Área:</t>
  </si>
  <si>
    <t>Período: Agosto 2026</t>
  </si>
  <si>
    <t xml:space="preserve">| </t>
  </si>
  <si>
    <t>FechaInicio: 22/08/2026</t>
  </si>
  <si>
    <t>FechaFin: 21/09/2026</t>
  </si>
  <si>
    <t>DATOS PERSONALES</t>
  </si>
  <si>
    <t>ASISTIÓ</t>
  </si>
  <si>
    <t>FALTÓ</t>
  </si>
  <si>
    <t>DESCANSÓ</t>
  </si>
  <si>
    <t>VACACIONES</t>
  </si>
  <si>
    <t>DESCANSO_MÉDICO</t>
  </si>
  <si>
    <t>ATENCIÓN_MÉDICA</t>
  </si>
  <si>
    <t>LICENCIA_CON_GOCE</t>
  </si>
  <si>
    <t>LICENCIA_SIN_GOCE</t>
  </si>
  <si>
    <t>LIC_PATERNIDAD</t>
  </si>
  <si>
    <t>SUSPENSIÓN</t>
  </si>
  <si>
    <t>SUSPSIDIO</t>
  </si>
  <si>
    <t>CESADO</t>
  </si>
  <si>
    <t>TRABAJO_EN_FERIADO</t>
  </si>
  <si>
    <t>DESCANSO_FERIADO</t>
  </si>
  <si>
    <t>ADELANTO_VACACIONES</t>
  </si>
  <si>
    <t>DNI</t>
  </si>
  <si>
    <t>NOMBRE</t>
  </si>
  <si>
    <t>AREA</t>
  </si>
  <si>
    <t>SUB_AREA</t>
  </si>
  <si>
    <t>CARGO</t>
  </si>
  <si>
    <t>TIPO_TRABAJADOR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</si>
  <si>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</si>
  <si>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</si>
  <si>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</si>
  <si>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</si>
  <si>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</si>
  <si>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</si>
  <si>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</si>
  <si>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</si>
  <si>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</si>
  <si>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</si>
  <si>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</si>
  <si>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</si>
  <si>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</si>
  <si>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</si>
  <si>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</si>
  <si>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</si>
  <si>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</si>
  <si>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</si>
  <si>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</si>
  <si>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</si>
  <si>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</si>
  <si>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</si>
  <si>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</si>
  <si>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</si>
  <si>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</si>
  <si>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</si>
  <si>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</si>
  <si>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</si>
  <si>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</si>
  <si>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</si>
  <si>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</si>
  <si>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A</t>
  </si>
  <si>
    <t>F</t>
  </si>
  <si>
    <t>D</t>
  </si>
  <si>
    <t>V</t>
  </si>
  <si>
    <t>DM</t>
  </si>
  <si>
    <t>AM</t>
  </si>
  <si>
    <t>LCG</t>
  </si>
  <si>
    <t>LSG</t>
  </si>
  <si>
    <t>LPP</t>
  </si>
  <si>
    <t>S</t>
  </si>
  <si>
    <t>SP</t>
  </si>
  <si>
    <t>CE</t>
  </si>
  <si>
    <t>FT</t>
  </si>
  <si>
    <t>FD</t>
  </si>
  <si>
    <t>VA</t>
  </si>
  <si>
    <t>TOTAL GENERAL</t>
  </si>
  <si>
    <t>PERIODO</t>
  </si>
  <si>
    <t>22 DE MARZO AL 21 DE ABRIL 2026</t>
  </si>
  <si>
    <t>ESTADO DE ASISTENCIA / CÓDIGOS DE TAREO</t>
  </si>
  <si>
    <t>CÓDIGO</t>
  </si>
  <si>
    <t>DESCRIPCIÓN</t>
  </si>
  <si>
    <t>¿CUÁNDO SE UTILIZA?</t>
  </si>
  <si>
    <t>Asistencia</t>
  </si>
  <si>
    <t>El trabajador cumplió su jornada laboral programada.</t>
  </si>
  <si>
    <t>Falta</t>
  </si>
  <si>
    <t>El trabajador no asistió a su jornada y no cuenta con una justificación registrada.</t>
  </si>
  <si>
    <t>Descanso</t>
  </si>
  <si>
    <t>El trabajador tiene descanso programado según su jornada o rol.</t>
  </si>
  <si>
    <t>Vacaciones</t>
  </si>
  <si>
    <t>Días correspondientes al período vacacional del trabajador.</t>
  </si>
  <si>
    <t>Descanso médico</t>
  </si>
  <si>
    <t>El trabajador cuenta con descanso médico debidamente sustentado.</t>
  </si>
  <si>
    <t>Atención médica</t>
  </si>
  <si>
    <t>El trabajador se ausenta por una atención o cita médica autorizada.</t>
  </si>
  <si>
    <t>Licencia con goce de haber</t>
  </si>
  <si>
    <t>El trabajador cuenta con una licencia autorizada en la que mantiene el derecho a remuneración.</t>
  </si>
  <si>
    <t>Licencia sin goce de haber</t>
  </si>
  <si>
    <t>El trabajador cuenta con una licencia autorizada sin percepción de remuneración.</t>
  </si>
  <si>
    <t>Licencia por paternidad</t>
  </si>
  <si>
    <t>El trabajador se encuentra dentro del período de licencia por paternidad que le corresponde.</t>
  </si>
  <si>
    <t>Suspensión</t>
  </si>
  <si>
    <t>El trabajador se encuentra bajo una suspensión laboral registrada.</t>
  </si>
  <si>
    <t>Subsidio</t>
  </si>
  <si>
    <t>El período corresponde a una situación cubierta por subsidio, según corresponda.</t>
  </si>
  <si>
    <t>Cesado</t>
  </si>
  <si>
    <t>El trabajador ya no mantiene vínculo laboral durante la fecha del registro.</t>
  </si>
  <si>
    <t>Trabajo en feriado</t>
  </si>
  <si>
    <r>
      <t xml:space="preserve">El trabajador </t>
    </r>
    <r>
      <rPr>
        <b/>
        <sz val="11"/>
        <color theme="1"/>
        <rFont val="Calibri"/>
        <family val="2"/>
        <scheme val="minor"/>
      </rPr>
      <t>sí laboró durante un día feriado</t>
    </r>
    <r>
      <rPr>
        <sz val="11"/>
        <color theme="1"/>
        <rFont val="Calibri"/>
        <family val="2"/>
        <scheme val="minor"/>
      </rPr>
      <t>.</t>
    </r>
  </si>
  <si>
    <t>Descanso por feriado</t>
  </si>
  <si>
    <r>
      <t xml:space="preserve">El trabajador </t>
    </r>
    <r>
      <rPr>
        <b/>
        <sz val="11"/>
        <color theme="1"/>
        <rFont val="Calibri"/>
        <family val="2"/>
        <scheme val="minor"/>
      </rPr>
      <t>no labora por corresponderle descanso debido al feriado</t>
    </r>
    <r>
      <rPr>
        <sz val="11"/>
        <color theme="1"/>
        <rFont val="Calibri"/>
        <family val="2"/>
        <scheme val="minor"/>
      </rPr>
      <t>.</t>
    </r>
  </si>
  <si>
    <t>AV</t>
  </si>
  <si>
    <t>Adelanto de vacaciones</t>
  </si>
  <si>
    <t>Días de vacaciones otorgados de manera anticipada, antes de completar el período que genera el derecho vacacional.</t>
  </si>
  <si>
    <t>GUÍA PARA EL REGISTRO DE ASISTENCIA</t>
  </si>
  <si>
    <r>
      <t xml:space="preserve">Seleccione el código que corresponda a la situación del trabajador durante la fecha registrada. En caso de feriado, utilice </t>
    </r>
    <r>
      <rPr>
        <b/>
        <sz val="11"/>
        <color theme="1"/>
        <rFont val="Calibri"/>
        <family val="2"/>
        <scheme val="minor"/>
      </rPr>
      <t>FT</t>
    </r>
    <r>
      <rPr>
        <sz val="11"/>
        <color theme="1"/>
        <rFont val="Calibri"/>
        <family val="2"/>
        <scheme val="minor"/>
      </rPr>
      <t xml:space="preserve"> si el trabajador </t>
    </r>
  </si>
  <si>
    <r>
      <t xml:space="preserve">laboró y </t>
    </r>
    <r>
      <rPr>
        <b/>
        <sz val="11"/>
        <color theme="1"/>
        <rFont val="Calibri"/>
        <family val="2"/>
        <scheme val="minor"/>
      </rPr>
      <t>FD</t>
    </r>
    <r>
      <rPr>
        <sz val="11"/>
        <color theme="1"/>
        <rFont val="Calibri"/>
        <family val="2"/>
        <scheme val="minor"/>
      </rPr>
      <t xml:space="preserve"> si correspondió descanso por feriado.</t>
    </r>
  </si>
  <si>
    <t>ESTADO DE ASISTENCIAS</t>
  </si>
  <si>
    <t>CODIGO</t>
  </si>
  <si>
    <t>DESCRIPCION</t>
  </si>
  <si>
    <t>Descanso Médico</t>
  </si>
  <si>
    <t>Atención Médica</t>
  </si>
  <si>
    <t>Licencia con Goce</t>
  </si>
  <si>
    <t>Licencia sin Goce</t>
  </si>
  <si>
    <t>Lic. Paternidad</t>
  </si>
  <si>
    <t>Supsidio</t>
  </si>
  <si>
    <t>Dencanso por feriado</t>
  </si>
  <si>
    <t>Tabla_Área</t>
  </si>
  <si>
    <t>Tabla Área_Subárea</t>
  </si>
  <si>
    <t>Id_Area</t>
  </si>
  <si>
    <t>Area</t>
  </si>
  <si>
    <t>IdSubArea</t>
  </si>
  <si>
    <t>IdArea</t>
  </si>
  <si>
    <t>SubArea</t>
  </si>
  <si>
    <t>SIS</t>
  </si>
  <si>
    <t>SISTEMAS</t>
  </si>
  <si>
    <t>CCO</t>
  </si>
  <si>
    <t>OPE</t>
  </si>
  <si>
    <t>OPERACIONES</t>
  </si>
  <si>
    <t>CENTRO_CONTROL</t>
  </si>
  <si>
    <t>DAT</t>
  </si>
  <si>
    <t>DATOS</t>
  </si>
  <si>
    <t>COND</t>
  </si>
  <si>
    <t>CONDUCTORES_PATIO</t>
  </si>
  <si>
    <t>LEG</t>
  </si>
  <si>
    <t>LEGAL</t>
  </si>
  <si>
    <t>GOP</t>
  </si>
  <si>
    <t>GERENCIA_OPERACIONES</t>
  </si>
  <si>
    <t>RRHH</t>
  </si>
  <si>
    <t>COND_PAT</t>
  </si>
  <si>
    <t>DEP_INS</t>
  </si>
  <si>
    <t>DESPACHO_E _INSPECTORÍA</t>
  </si>
  <si>
    <t>CONT</t>
  </si>
  <si>
    <t>CONTABILIDAD</t>
  </si>
  <si>
    <t>GUAD</t>
  </si>
  <si>
    <t>GUADAVÍA</t>
  </si>
  <si>
    <t>LIQ</t>
  </si>
  <si>
    <t>LIQUIDACION</t>
  </si>
  <si>
    <t>INSP</t>
  </si>
  <si>
    <t>INSPECTORÍA</t>
  </si>
  <si>
    <t>SEG</t>
  </si>
  <si>
    <t>SEGURIDAD</t>
  </si>
  <si>
    <t>REC</t>
  </si>
  <si>
    <t>RECAUDO</t>
  </si>
  <si>
    <t>GADM</t>
  </si>
  <si>
    <t>GERENCIA_ADMINISTRATIVA</t>
  </si>
  <si>
    <t>PRO_BOL</t>
  </si>
  <si>
    <t>ZONA_PAGA_LEONCIO</t>
  </si>
  <si>
    <t>LIM</t>
  </si>
  <si>
    <t>LIMPIEZA</t>
  </si>
  <si>
    <t>PRO_LEO</t>
  </si>
  <si>
    <t>ZONA_PAGA_BOLIVIA</t>
  </si>
  <si>
    <t>ALM</t>
  </si>
  <si>
    <t>ALMACEN</t>
  </si>
  <si>
    <t>COM</t>
  </si>
  <si>
    <t>COMUNICACIONES</t>
  </si>
  <si>
    <t>MAN</t>
  </si>
  <si>
    <t>MANTENIMIENTO</t>
  </si>
  <si>
    <t>GGEN</t>
  </si>
  <si>
    <t>GERENCIA_GENERAL</t>
  </si>
  <si>
    <t>Período</t>
  </si>
  <si>
    <t>Id_Periodo</t>
  </si>
  <si>
    <t>Periodo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</si>
  <si>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</si>
  <si>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</si>
  <si>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</si>
  <si>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</si>
  <si>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</si>
  <si>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</si>
  <si>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</si>
  <si>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</si>
  <si>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SETIEMBRE</t>
  </si>
  <si>
    <t>Tipo_Trabajador</t>
  </si>
  <si>
    <t>OCTUBRE</t>
  </si>
  <si>
    <t>Id_Tipo_Trab</t>
  </si>
  <si>
    <t>Tipo_Trab</t>
  </si>
  <si>
    <t>NOVIEMBRE</t>
  </si>
  <si>
    <t>PLA</t>
  </si>
  <si>
    <t>PLANILLA</t>
  </si>
  <si>
    <t>DICIEMBRE</t>
  </si>
  <si>
    <t>PRAC</t>
  </si>
  <si>
    <t>PRACTICANTE</t>
  </si>
  <si>
    <t>HONA</t>
  </si>
  <si>
    <t>HONORARIOS</t>
  </si>
  <si>
    <t>FechaInicio</t>
  </si>
  <si>
    <t>FechaFin</t>
  </si>
  <si>
    <t xml:space="preserve"> 22/08/2026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</si>
</sst>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0000000"/>
    <numFmt numFmtId="165" formatCode="d"/>
    <numFmt numFmtId="166" formatCode="dd"/>
  </numFmts>
  <fonts count="2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20"/>
      <color rgb="FFFFFF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indexed="81"/>
      <name val="Tahoma"/>
      <family val="2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3.5"/>
      <color theme="1"/>
      <name val="Calibri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CC99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66FFCC"/>
        <bgColor indexed="64"/>
      </patternFill>
    </fill>
    <fill>
      <patternFill patternType="solid">
        <fgColor rgb="FFFFB061"/>
        <bgColor indexed="64"/>
      </patternFill>
    </fill>
    <fill>
      <patternFill patternType="solid">
        <fgColor rgb="FFD1D1D1"/>
        <bgColor indexed="64"/>
      </patternFill>
    </fill>
    <fill>
      <patternFill patternType="solid">
        <fgColor rgb="FFBEB2D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D9D9D9"/>
        <bgColor rgb="FFD9D9D9"/>
      </patternFill>
    </fill>
    <fill>
      <patternFill patternType="solid">
        <fgColor rgb="FF00B0F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3" tint="-0.499984740745262"/>
      </left>
      <right/>
      <top style="thin">
        <color theme="3" tint="-0.499984740745262"/>
      </top>
      <bottom/>
      <diagonal/>
    </border>
    <border>
      <left style="thin">
        <color theme="3" tint="-0.499984740745262"/>
      </left>
      <right/>
      <top/>
      <bottom style="thin">
        <color theme="3" tint="-0.499984740745262"/>
      </bottom>
      <diagonal/>
    </border>
    <border>
      <left/>
      <right style="thin">
        <color theme="3" tint="-0.499984740745262"/>
      </right>
      <top/>
      <bottom style="thin">
        <color theme="3" tint="-0.499984740745262"/>
      </bottom>
      <diagonal/>
    </border>
    <border>
      <left style="thin">
        <color theme="3" tint="-0.499984740745262"/>
      </left>
      <right/>
      <top style="thin">
        <color theme="3" tint="-0.499984740745262"/>
      </top>
      <bottom style="thin">
        <color theme="3" tint="-0.499984740745262"/>
      </bottom>
      <diagonal/>
    </border>
    <border>
      <left/>
      <right/>
      <top style="thin">
        <color theme="3" tint="-0.499984740745262"/>
      </top>
      <bottom style="thin">
        <color theme="3" tint="-0.499984740745262"/>
      </bottom>
      <diagonal/>
    </border>
    <border>
      <left/>
      <right style="thin">
        <color theme="3" tint="-0.499984740745262"/>
      </right>
      <top style="thin">
        <color theme="3" tint="-0.499984740745262"/>
      </top>
      <bottom style="thin">
        <color theme="3" tint="-0.499984740745262"/>
      </bottom>
      <diagonal/>
    </border>
    <border>
      <left/>
      <right/>
      <top style="thin">
        <color theme="3" tint="-0.499984740745262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3" tint="-0.499984740745262"/>
      </left>
      <right style="thin">
        <color indexed="64"/>
      </right>
      <top style="thin">
        <color indexed="64"/>
      </top>
      <bottom/>
      <diagonal/>
    </border>
    <border>
      <left/>
      <right style="thin">
        <color theme="3" tint="-0.499984740745262"/>
      </right>
      <top style="thin">
        <color theme="3" tint="-0.499984740745262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/>
      <top style="thin">
        <color theme="1"/>
      </top>
      <bottom/>
      <diagonal/>
    </border>
  </borders>
  <cellStyleXfs count="1">
    <xf numFmtId="0" fontId="0" fillId="0" borderId="0"/>
  </cellStyleXfs>
  <cellXfs count="134">
    <xf numFmtId="0" fontId="0" fillId="0" borderId="0" xfId="0"/>
    <xf numFmtId="0" fontId="0" fillId="0" borderId="0" xfId="0" applyProtection="1">
      <protection locked="0"/>
    </xf>
    <xf numFmtId="0" fontId="3" fillId="17" borderId="1" xfId="0" applyFont="1" applyFill="1" applyBorder="1" applyAlignment="1" applyProtection="1">
      <alignment horizontal="center" vertical="center"/>
      <protection locked="0"/>
    </xf>
    <xf numFmtId="0" fontId="3" fillId="22" borderId="1" xfId="0" applyFont="1" applyFill="1" applyBorder="1" applyAlignment="1" applyProtection="1">
      <alignment horizontal="center" vertical="center"/>
      <protection locked="0"/>
    </xf>
    <xf numFmtId="0" fontId="3" fillId="18" borderId="1" xfId="0" applyFont="1" applyFill="1" applyBorder="1" applyAlignment="1" applyProtection="1">
      <alignment horizontal="center" vertical="center"/>
      <protection locked="0"/>
    </xf>
    <xf numFmtId="0" fontId="3" fillId="12" borderId="1" xfId="0" applyFont="1" applyFill="1" applyBorder="1" applyAlignment="1" applyProtection="1">
      <alignment horizontal="center" vertical="center"/>
      <protection locked="0"/>
    </xf>
    <xf numFmtId="0" fontId="3" fillId="23" borderId="1" xfId="0" applyFont="1" applyFill="1" applyBorder="1" applyAlignment="1" applyProtection="1">
      <alignment horizontal="center" vertical="center"/>
      <protection locked="0"/>
    </xf>
    <xf numFmtId="0" fontId="3" fillId="24" borderId="1" xfId="0" applyFont="1" applyFill="1" applyBorder="1" applyAlignment="1" applyProtection="1">
      <alignment horizontal="center" vertical="center"/>
      <protection locked="0"/>
    </xf>
    <xf numFmtId="0" fontId="3" fillId="25" borderId="1" xfId="0" applyFont="1" applyFill="1" applyBorder="1" applyAlignment="1" applyProtection="1">
      <alignment horizontal="center" vertical="center"/>
      <protection locked="0"/>
    </xf>
    <xf numFmtId="0" fontId="3" fillId="28" borderId="1" xfId="0" applyFont="1" applyFill="1" applyBorder="1" applyAlignment="1" applyProtection="1">
      <alignment horizontal="center" vertical="center"/>
      <protection locked="0"/>
    </xf>
    <xf numFmtId="0" fontId="3" fillId="9" borderId="1" xfId="0" applyFont="1" applyFill="1" applyBorder="1" applyAlignment="1" applyProtection="1">
      <alignment horizontal="center" vertical="center"/>
      <protection locked="0"/>
    </xf>
    <xf numFmtId="0" fontId="3" fillId="26" borderId="1" xfId="0" applyFont="1" applyFill="1" applyBorder="1" applyAlignment="1" applyProtection="1">
      <alignment horizontal="center" vertical="center"/>
      <protection locked="0"/>
    </xf>
    <xf numFmtId="0" fontId="3" fillId="27" borderId="1" xfId="0" applyFont="1" applyFill="1" applyBorder="1" applyAlignment="1" applyProtection="1">
      <alignment horizontal="center" vertical="center"/>
      <protection locked="0"/>
    </xf>
    <xf numFmtId="0" fontId="3" fillId="30" borderId="2" xfId="0" applyFont="1" applyFill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0" fillId="21" borderId="1" xfId="0" applyFill="1" applyBorder="1" applyAlignment="1" applyProtection="1">
      <alignment horizontal="left" vertical="center"/>
      <protection locked="0"/>
    </xf>
    <xf numFmtId="0" fontId="0" fillId="21" borderId="23" xfId="0" applyFill="1" applyBorder="1" applyAlignment="1" applyProtection="1">
      <alignment horizontal="left" vertical="center"/>
      <protection locked="0"/>
    </xf>
    <xf numFmtId="0" fontId="9" fillId="20" borderId="13" xfId="0" applyFont="1" applyFill="1" applyBorder="1" applyAlignment="1" applyProtection="1">
      <alignment vertical="center" wrapText="1"/>
      <protection locked="0"/>
    </xf>
    <xf numFmtId="0" fontId="9" fillId="20" borderId="14" xfId="0" applyFont="1" applyFill="1" applyBorder="1" applyAlignment="1" applyProtection="1">
      <alignment vertical="center"/>
      <protection locked="0"/>
    </xf>
    <xf numFmtId="0" fontId="9" fillId="20" borderId="15" xfId="0" applyFont="1" applyFill="1" applyBorder="1" applyAlignment="1" applyProtection="1">
      <alignment vertical="center"/>
      <protection locked="0"/>
    </xf>
    <xf numFmtId="0" fontId="9" fillId="20" borderId="12" xfId="0" applyFont="1" applyFill="1" applyBorder="1" applyAlignment="1" applyProtection="1">
      <alignment vertical="center"/>
      <protection locked="0"/>
    </xf>
    <xf numFmtId="0" fontId="9" fillId="20" borderId="16" xfId="0" applyFont="1" applyFill="1" applyBorder="1" applyAlignment="1" applyProtection="1">
      <alignment vertical="center"/>
      <protection locked="0"/>
    </xf>
    <xf numFmtId="0" fontId="9" fillId="20" borderId="14" xfId="0" applyFont="1" applyFill="1" applyBorder="1" applyAlignment="1" applyProtection="1">
      <alignment vertical="center" wrapText="1"/>
      <protection locked="0"/>
    </xf>
    <xf numFmtId="0" fontId="9" fillId="20" borderId="25" xfId="0" applyFont="1" applyFill="1" applyBorder="1" applyAlignment="1" applyProtection="1">
      <alignment vertical="center" wrapText="1"/>
      <protection locked="0"/>
    </xf>
    <xf numFmtId="0" fontId="9" fillId="20" borderId="0" xfId="0" applyFont="1" applyFill="1" applyAlignment="1" applyProtection="1">
      <alignment vertical="center" wrapText="1"/>
      <protection locked="0"/>
    </xf>
    <xf numFmtId="0" fontId="9" fillId="20" borderId="11" xfId="0" applyFont="1" applyFill="1" applyBorder="1" applyAlignment="1" applyProtection="1">
      <alignment vertical="center" wrapText="1"/>
      <protection locked="0"/>
    </xf>
    <xf numFmtId="0" fontId="9" fillId="20" borderId="12" xfId="0" applyFont="1" applyFill="1" applyBorder="1" applyAlignment="1" applyProtection="1">
      <alignment vertical="center" wrapText="1"/>
      <protection locked="0"/>
    </xf>
    <xf numFmtId="0" fontId="9" fillId="20" borderId="0" xfId="0" applyFont="1" applyFill="1" applyAlignment="1" applyProtection="1">
      <alignment horizontal="center" vertical="center"/>
      <protection locked="0"/>
    </xf>
    <xf numFmtId="0" fontId="9" fillId="20" borderId="0" xfId="0" applyFont="1" applyFill="1" applyAlignment="1" applyProtection="1">
      <alignment vertical="center"/>
      <protection locked="0"/>
    </xf>
    <xf numFmtId="0" fontId="9" fillId="20" borderId="24" xfId="0" applyFont="1" applyFill="1" applyBorder="1" applyAlignment="1" applyProtection="1">
      <alignment vertical="center"/>
      <protection locked="0"/>
    </xf>
    <xf numFmtId="0" fontId="15" fillId="20" borderId="0" xfId="0" applyFont="1" applyFill="1" applyAlignment="1" applyProtection="1">
      <alignment vertical="center" wrapText="1"/>
      <protection locked="0"/>
    </xf>
    <xf numFmtId="0" fontId="15" fillId="20" borderId="0" xfId="0" applyFont="1" applyFill="1" applyAlignment="1" applyProtection="1">
      <alignment vertical="center"/>
      <protection locked="0"/>
    </xf>
    <xf numFmtId="0" fontId="12" fillId="0" borderId="0" xfId="0" applyFont="1" applyAlignment="1" applyProtection="1">
      <alignment horizontal="center" vertical="center"/>
      <protection locked="0"/>
    </xf>
    <xf numFmtId="0" fontId="0" fillId="19" borderId="0" xfId="0" applyFill="1" applyProtection="1">
      <protection locked="0"/>
    </xf>
    <xf numFmtId="0" fontId="15" fillId="19" borderId="0" xfId="0" applyFont="1" applyFill="1" applyAlignment="1" applyProtection="1">
      <alignment vertical="center"/>
      <protection locked="0"/>
    </xf>
    <xf numFmtId="0" fontId="9" fillId="19" borderId="0" xfId="0" applyFont="1" applyFill="1" applyAlignment="1" applyProtection="1">
      <alignment vertical="center"/>
      <protection locked="0"/>
    </xf>
    <xf numFmtId="0" fontId="0" fillId="0" borderId="2" xfId="0" applyBorder="1" applyAlignment="1" applyProtection="1">
      <alignment horizontal="center" vertical="center"/>
      <protection locked="0"/>
    </xf>
    <xf numFmtId="0" fontId="0" fillId="0" borderId="3" xfId="0" applyBorder="1" applyAlignment="1" applyProtection="1">
      <alignment horizontal="center" vertical="center"/>
      <protection locked="0"/>
    </xf>
    <xf numFmtId="165" fontId="0" fillId="0" borderId="0" xfId="0" applyNumberFormat="1" applyProtection="1">
      <protection locked="0"/>
    </xf>
    <xf numFmtId="14" fontId="15" fillId="20" borderId="0" xfId="0" applyNumberFormat="1" applyFont="1" applyFill="1" applyAlignment="1" applyProtection="1">
      <alignment vertical="center"/>
      <protection locked="0"/>
    </xf>
    <xf numFmtId="0" fontId="0" fillId="0" borderId="1" xfId="0" applyBorder="1" applyAlignment="1" applyProtection="1">
      <alignment horizontal="left"/>
      <protection locked="0"/>
    </xf>
    <xf numFmtId="0" fontId="13" fillId="29" borderId="1" xfId="0" applyFont="1" applyFill="1" applyBorder="1" applyAlignment="1" applyProtection="1">
      <alignment horizontal="left"/>
      <protection locked="0"/>
    </xf>
    <xf numFmtId="0" fontId="13" fillId="29" borderId="1" xfId="0" applyFont="1" applyFill="1" applyBorder="1" applyAlignment="1" applyProtection="1">
      <alignment horizontal="left" vertical="center"/>
      <protection locked="0"/>
    </xf>
    <xf numFmtId="0" fontId="13" fillId="29" borderId="19" xfId="0" applyFont="1" applyFill="1" applyBorder="1" applyAlignment="1" applyProtection="1">
      <alignment horizontal="left"/>
      <protection locked="0"/>
    </xf>
    <xf numFmtId="0" fontId="0" fillId="0" borderId="1" xfId="0" quotePrefix="1" applyBorder="1" applyAlignment="1" applyProtection="1">
      <alignment horizontal="left"/>
      <protection locked="0"/>
    </xf>
    <xf numFmtId="0" fontId="13" fillId="29" borderId="18" xfId="0" applyFont="1" applyFill="1" applyBorder="1" applyAlignment="1" applyProtection="1">
      <alignment horizontal="left"/>
      <protection locked="0"/>
    </xf>
    <xf numFmtId="14" fontId="1" fillId="0" borderId="26" xfId="0" applyNumberFormat="1" applyFont="1" applyBorder="1" applyAlignment="1" applyProtection="1">
      <alignment horizontal="right"/>
      <protection locked="0"/>
    </xf>
    <xf numFmtId="14" fontId="0" fillId="32" borderId="27" xfId="0" applyNumberFormat="1" applyFill="1" applyBorder="1" applyProtection="1">
      <protection locked="0"/>
    </xf>
    <xf numFmtId="0" fontId="5" fillId="19" borderId="6" xfId="0" applyFont="1" applyFill="1" applyBorder="1" applyAlignment="1" applyProtection="1">
      <alignment horizontal="left" vertical="center"/>
      <protection locked="0"/>
    </xf>
    <xf numFmtId="0" fontId="5" fillId="19" borderId="5" xfId="0" applyFont="1" applyFill="1" applyBorder="1" applyAlignment="1" applyProtection="1">
      <alignment horizontal="left" vertical="center"/>
      <protection locked="0"/>
    </xf>
    <xf numFmtId="0" fontId="5" fillId="6" borderId="8" xfId="0" applyFont="1" applyFill="1" applyBorder="1" applyAlignment="1" applyProtection="1">
      <alignment horizontal="left" vertical="center"/>
      <protection locked="0"/>
    </xf>
    <xf numFmtId="0" fontId="2" fillId="8" borderId="7" xfId="0" applyFont="1" applyFill="1" applyBorder="1" applyAlignment="1" applyProtection="1">
      <alignment horizontal="left" vertical="center"/>
      <protection locked="0"/>
    </xf>
    <xf numFmtId="0" fontId="5" fillId="4" borderId="8" xfId="0" applyFont="1" applyFill="1" applyBorder="1" applyAlignment="1" applyProtection="1">
      <alignment horizontal="left" vertical="center"/>
      <protection locked="0"/>
    </xf>
    <xf numFmtId="0" fontId="5" fillId="11" borderId="8" xfId="0" applyFont="1" applyFill="1" applyBorder="1" applyAlignment="1" applyProtection="1">
      <alignment horizontal="left" vertical="center"/>
      <protection locked="0"/>
    </xf>
    <xf numFmtId="0" fontId="5" fillId="12" borderId="8" xfId="0" applyFont="1" applyFill="1" applyBorder="1" applyAlignment="1" applyProtection="1">
      <alignment horizontal="left" vertical="center"/>
      <protection locked="0"/>
    </xf>
    <xf numFmtId="0" fontId="5" fillId="3" borderId="8" xfId="0" applyFont="1" applyFill="1" applyBorder="1" applyAlignment="1" applyProtection="1">
      <alignment horizontal="left" vertical="center"/>
      <protection locked="0"/>
    </xf>
    <xf numFmtId="0" fontId="5" fillId="5" borderId="8" xfId="0" applyFont="1" applyFill="1" applyBorder="1" applyAlignment="1" applyProtection="1">
      <alignment horizontal="left" vertical="center"/>
      <protection locked="0"/>
    </xf>
    <xf numFmtId="0" fontId="5" fillId="14" borderId="8" xfId="0" applyFont="1" applyFill="1" applyBorder="1" applyAlignment="1" applyProtection="1">
      <alignment horizontal="left" vertical="center"/>
      <protection locked="0"/>
    </xf>
    <xf numFmtId="0" fontId="5" fillId="7" borderId="8" xfId="0" applyFont="1" applyFill="1" applyBorder="1" applyAlignment="1" applyProtection="1">
      <alignment horizontal="left" vertical="center"/>
      <protection locked="0"/>
    </xf>
    <xf numFmtId="0" fontId="5" fillId="9" borderId="8" xfId="0" applyFont="1" applyFill="1" applyBorder="1" applyAlignment="1" applyProtection="1">
      <alignment horizontal="left" vertical="center"/>
      <protection locked="0"/>
    </xf>
    <xf numFmtId="0" fontId="5" fillId="15" borderId="8" xfId="0" applyFont="1" applyFill="1" applyBorder="1" applyAlignment="1" applyProtection="1">
      <alignment horizontal="left" vertical="center"/>
      <protection locked="0"/>
    </xf>
    <xf numFmtId="0" fontId="6" fillId="16" borderId="10" xfId="0" applyFont="1" applyFill="1" applyBorder="1" applyAlignment="1" applyProtection="1">
      <alignment horizontal="left" vertical="center"/>
      <protection locked="0"/>
    </xf>
    <xf numFmtId="0" fontId="2" fillId="8" borderId="4" xfId="0" applyFont="1" applyFill="1" applyBorder="1" applyAlignment="1" applyProtection="1">
      <alignment horizontal="left" vertical="center"/>
      <protection locked="0"/>
    </xf>
    <xf numFmtId="0" fontId="0" fillId="0" borderId="0" xfId="0" applyAlignment="1" applyProtection="1">
      <alignment vertical="center"/>
      <protection locked="0"/>
    </xf>
    <xf numFmtId="0" fontId="0" fillId="0" borderId="16" xfId="0" applyBorder="1" applyAlignment="1" applyProtection="1">
      <alignment horizontal="center"/>
      <protection locked="0"/>
    </xf>
    <xf numFmtId="0" fontId="0" fillId="0" borderId="11" xfId="0" applyBorder="1" applyProtection="1">
      <protection locked="0"/>
    </xf>
    <xf numFmtId="0" fontId="1" fillId="0" borderId="16" xfId="0" applyFont="1" applyBorder="1" applyAlignment="1" applyProtection="1">
      <alignment horizontal="center" vertical="center" wrapText="1"/>
      <protection locked="0"/>
    </xf>
    <xf numFmtId="0" fontId="1" fillId="0" borderId="22" xfId="0" applyFont="1" applyBorder="1" applyAlignment="1" applyProtection="1">
      <alignment horizontal="center" vertical="center" wrapText="1"/>
      <protection locked="0"/>
    </xf>
    <xf numFmtId="0" fontId="1" fillId="0" borderId="11" xfId="0" applyFont="1" applyBorder="1" applyAlignment="1" applyProtection="1">
      <alignment horizontal="center" vertical="center" wrapText="1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32" borderId="2" xfId="0" applyFill="1" applyBorder="1" applyAlignment="1" applyProtection="1">
      <alignment vertical="center"/>
      <protection locked="0"/>
    </xf>
    <xf numFmtId="0" fontId="0" fillId="0" borderId="2" xfId="0" applyBorder="1" applyAlignment="1" applyProtection="1">
      <alignment vertical="center"/>
      <protection locked="0"/>
    </xf>
    <xf numFmtId="0" fontId="0" fillId="0" borderId="2" xfId="0" applyBorder="1" applyAlignment="1" applyProtection="1">
      <alignment horizontal="left" vertical="center" wrapText="1"/>
      <protection locked="0"/>
    </xf>
    <xf numFmtId="0" fontId="0" fillId="0" borderId="1" xfId="0" applyBorder="1" applyAlignment="1" applyProtection="1">
      <alignment horizontal="center" vertical="center" wrapText="1"/>
      <protection locked="0"/>
    </xf>
    <xf numFmtId="0" fontId="13" fillId="34" borderId="1" xfId="0" applyFont="1" applyFill="1" applyBorder="1" applyAlignment="1" applyProtection="1">
      <alignment wrapText="1"/>
      <protection locked="0"/>
    </xf>
    <xf numFmtId="0" fontId="13" fillId="0" borderId="1" xfId="0" applyFont="1" applyBorder="1" applyAlignment="1" applyProtection="1">
      <alignment horizontal="center" vertical="center" wrapText="1"/>
      <protection locked="0"/>
    </xf>
    <xf numFmtId="0" fontId="0" fillId="0" borderId="15" xfId="0" applyBorder="1" applyAlignment="1" applyProtection="1">
      <alignment horizontal="center"/>
      <protection locked="0"/>
    </xf>
    <xf numFmtId="0" fontId="0" fillId="32" borderId="13" xfId="0" applyFill="1" applyBorder="1" applyAlignment="1" applyProtection="1">
      <alignment vertical="center"/>
      <protection locked="0"/>
    </xf>
    <xf numFmtId="0" fontId="0" fillId="0" borderId="15" xfId="0" applyBorder="1" applyAlignment="1" applyProtection="1">
      <alignment horizontal="left"/>
      <protection locked="0"/>
    </xf>
    <xf numFmtId="0" fontId="0" fillId="0" borderId="11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left"/>
      <protection locked="0"/>
    </xf>
    <xf numFmtId="0" fontId="0" fillId="32" borderId="2" xfId="0" applyFill="1" applyBorder="1" applyAlignment="1" applyProtection="1">
      <alignment horizontal="center" vertical="center"/>
      <protection locked="0"/>
    </xf>
    <xf numFmtId="0" fontId="0" fillId="0" borderId="13" xfId="0" applyBorder="1" applyAlignment="1" applyProtection="1">
      <alignment horizontal="left"/>
      <protection locked="0"/>
    </xf>
    <xf numFmtId="0" fontId="0" fillId="32" borderId="13" xfId="0" applyFill="1" applyBorder="1" applyAlignment="1" applyProtection="1">
      <alignment horizontal="center" vertical="center"/>
      <protection locked="0"/>
    </xf>
    <xf numFmtId="14" fontId="16" fillId="2" borderId="1" xfId="0" applyNumberFormat="1" applyFont="1" applyFill="1" applyBorder="1" applyAlignment="1" applyProtection="1">
      <alignment horizontal="center" vertical="center"/>
      <protection locked="0"/>
    </xf>
    <xf numFmtId="14" fontId="1" fillId="0" borderId="28" xfId="0" applyNumberFormat="1" applyFont="1" applyBorder="1" applyAlignment="1" applyProtection="1">
      <alignment horizontal="right"/>
      <protection locked="0"/>
    </xf>
    <xf numFmtId="14" fontId="0" fillId="32" borderId="0" xfId="0" applyNumberFormat="1" applyFill="1" applyProtection="1">
      <protection locked="0"/>
    </xf>
    <xf numFmtId="0" fontId="7" fillId="33" borderId="1" xfId="0" applyFont="1" applyFill="1" applyBorder="1" applyAlignment="1" applyProtection="1">
      <alignment horizontal="center" vertical="center" wrapText="1"/>
      <protection locked="0"/>
    </xf>
    <xf numFmtId="0" fontId="7" fillId="33" borderId="1" xfId="0" applyFont="1" applyFill="1" applyBorder="1" applyAlignment="1" applyProtection="1">
      <alignment horizontal="center" vertical="center"/>
      <protection locked="0"/>
    </xf>
    <xf numFmtId="0" fontId="18" fillId="33" borderId="22" xfId="0" applyFont="1" applyFill="1" applyBorder="1" applyAlignment="1" applyProtection="1">
      <alignment horizontal="center" vertical="center" wrapText="1"/>
      <protection locked="0"/>
    </xf>
    <xf numFmtId="0" fontId="18" fillId="33" borderId="11" xfId="0" applyFont="1" applyFill="1" applyBorder="1" applyAlignment="1" applyProtection="1">
      <alignment horizontal="center" vertical="center" wrapText="1"/>
      <protection locked="0"/>
    </xf>
    <xf numFmtId="14" fontId="16" fillId="5" borderId="1" xfId="0" applyNumberFormat="1" applyFont="1" applyFill="1" applyBorder="1" applyAlignment="1" applyProtection="1">
      <alignment horizontal="center" vertical="center"/>
      <protection locked="0"/>
    </xf>
    <xf numFmtId="0" fontId="4" fillId="18" borderId="1" xfId="0" applyFont="1" applyFill="1" applyBorder="1" applyAlignment="1" applyProtection="1">
      <alignment horizontal="center" vertical="center"/>
      <protection locked="0"/>
    </xf>
    <xf numFmtId="166" fontId="16" fillId="5" borderId="1" xfId="0" applyNumberFormat="1" applyFont="1" applyFill="1" applyBorder="1" applyAlignment="1">
      <alignment horizontal="left" vertical="center" indent="3"/>
    </xf>
    <xf numFmtId="166" fontId="18" fillId="2" borderId="1" xfId="0" applyNumberFormat="1" applyFont="1" applyFill="1" applyBorder="1" applyAlignment="1">
      <alignment horizontal="left" vertical="center" indent="3"/>
    </xf>
    <xf numFmtId="0" fontId="17" fillId="36" borderId="22" xfId="0" applyFont="1" applyFill="1" applyBorder="1" applyAlignment="1" applyProtection="1">
      <alignment horizontal="left" vertical="center"/>
      <protection locked="0"/>
    </xf>
    <xf numFmtId="0" fontId="0" fillId="0" borderId="1" xfId="0" applyBorder="1" applyAlignment="1" applyProtection="1">
      <alignment horizontal="left" vertical="center"/>
      <protection locked="0"/>
    </xf>
    <xf numFmtId="164" fontId="13" fillId="0" borderId="1" xfId="0" applyNumberFormat="1" applyFont="1" applyBorder="1" applyAlignment="1" applyProtection="1">
      <alignment horizontal="left"/>
      <protection locked="0"/>
    </xf>
    <xf numFmtId="0" fontId="0" fillId="21" borderId="1" xfId="0" quotePrefix="1" applyFill="1" applyBorder="1" applyAlignment="1" applyProtection="1">
      <alignment horizontal="left" vertical="center"/>
      <protection locked="0"/>
    </xf>
    <xf numFmtId="164" fontId="13" fillId="0" borderId="1" xfId="0" applyNumberFormat="1" applyFont="1" applyBorder="1" applyAlignment="1" applyProtection="1">
      <alignment horizontal="left" vertical="center"/>
      <protection locked="0"/>
    </xf>
    <xf numFmtId="164" fontId="13" fillId="0" borderId="18" xfId="0" applyNumberFormat="1" applyFont="1" applyBorder="1" applyAlignment="1" applyProtection="1">
      <alignment horizontal="left"/>
      <protection locked="0"/>
    </xf>
    <xf numFmtId="0" fontId="5" fillId="5" borderId="0" xfId="0" applyFont="1" applyFill="1" applyProtection="1">
      <protection locked="0"/>
    </xf>
    <xf numFmtId="0" fontId="1" fillId="35" borderId="0" xfId="0" applyFont="1" applyFill="1" applyProtection="1">
      <protection locked="0"/>
    </xf>
    <xf numFmtId="0" fontId="3" fillId="38" borderId="2" xfId="0" applyFont="1" applyFill="1" applyBorder="1" applyAlignment="1" applyProtection="1">
      <alignment horizontal="center" vertical="center"/>
      <protection locked="0"/>
    </xf>
    <xf numFmtId="0" fontId="3" fillId="37" borderId="2" xfId="0" applyFont="1" applyFill="1" applyBorder="1" applyAlignment="1" applyProtection="1">
      <alignment horizontal="center" vertical="center"/>
      <protection locked="0"/>
    </xf>
    <xf numFmtId="0" fontId="5" fillId="13" borderId="10" xfId="0" applyFont="1" applyFill="1" applyBorder="1" applyAlignment="1" applyProtection="1">
      <alignment horizontal="left" vertical="center"/>
      <protection locked="0"/>
    </xf>
    <xf numFmtId="0" fontId="5" fillId="31" borderId="20" xfId="0" applyFont="1" applyFill="1" applyBorder="1" applyAlignment="1" applyProtection="1">
      <alignment horizontal="left" vertical="center"/>
      <protection locked="0"/>
    </xf>
    <xf numFmtId="14" fontId="16" fillId="5" borderId="3" xfId="0" applyNumberFormat="1" applyFont="1" applyFill="1" applyBorder="1" applyAlignment="1" applyProtection="1">
      <alignment horizontal="center" vertical="center"/>
      <protection locked="0"/>
    </xf>
    <xf numFmtId="166" fontId="16" fillId="5" borderId="3" xfId="0" applyNumberFormat="1" applyFont="1" applyFill="1" applyBorder="1" applyAlignment="1">
      <alignment horizontal="left" vertical="center" indent="3"/>
    </xf>
    <xf numFmtId="0" fontId="4" fillId="37" borderId="3" xfId="0" applyFont="1" applyFill="1" applyBorder="1" applyAlignment="1" applyProtection="1">
      <alignment horizontal="center" vertical="center"/>
      <protection locked="0"/>
    </xf>
    <xf numFmtId="0" fontId="17" fillId="36" borderId="1" xfId="0" applyFont="1" applyFill="1" applyBorder="1" applyAlignment="1" applyProtection="1">
      <alignment horizontal="left" vertical="center"/>
      <protection locked="0"/>
    </xf>
    <xf numFmtId="0" fontId="19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1" fillId="9" borderId="1" xfId="0" applyFont="1" applyFill="1" applyBorder="1" applyAlignment="1">
      <alignment horizontal="center" vertical="center"/>
    </xf>
    <xf numFmtId="0" fontId="1" fillId="0" borderId="0" xfId="0" applyFont="1"/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8" fillId="36" borderId="25" xfId="0" applyFont="1" applyFill="1" applyBorder="1" applyAlignment="1" applyProtection="1">
      <alignment horizontal="center" vertical="center"/>
      <protection locked="0"/>
    </xf>
    <xf numFmtId="0" fontId="8" fillId="36" borderId="0" xfId="0" applyFont="1" applyFill="1" applyAlignment="1" applyProtection="1">
      <alignment horizontal="center" vertical="center"/>
      <protection locked="0"/>
    </xf>
    <xf numFmtId="0" fontId="16" fillId="36" borderId="2" xfId="0" applyFont="1" applyFill="1" applyBorder="1" applyAlignment="1" applyProtection="1">
      <alignment horizontal="center" vertical="center"/>
      <protection locked="0"/>
    </xf>
    <xf numFmtId="0" fontId="16" fillId="36" borderId="17" xfId="0" applyFont="1" applyFill="1" applyBorder="1" applyAlignment="1" applyProtection="1">
      <alignment horizontal="center" vertical="center"/>
      <protection locked="0"/>
    </xf>
    <xf numFmtId="0" fontId="16" fillId="36" borderId="3" xfId="0" applyFont="1" applyFill="1" applyBorder="1" applyAlignment="1" applyProtection="1">
      <alignment horizontal="center" vertical="center"/>
      <protection locked="0"/>
    </xf>
    <xf numFmtId="0" fontId="2" fillId="0" borderId="2" xfId="0" applyFont="1" applyBorder="1" applyAlignment="1" applyProtection="1">
      <alignment horizontal="center" vertical="center"/>
      <protection locked="0"/>
    </xf>
    <xf numFmtId="0" fontId="2" fillId="0" borderId="17" xfId="0" applyFont="1" applyBorder="1" applyAlignment="1" applyProtection="1">
      <alignment horizontal="center" vertical="center"/>
      <protection locked="0"/>
    </xf>
    <xf numFmtId="0" fontId="2" fillId="0" borderId="3" xfId="0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 vertical="center"/>
      <protection locked="0"/>
    </xf>
    <xf numFmtId="0" fontId="10" fillId="0" borderId="17" xfId="0" applyFont="1" applyBorder="1" applyAlignment="1" applyProtection="1">
      <alignment horizontal="center" vertical="center"/>
      <protection locked="0"/>
    </xf>
    <xf numFmtId="0" fontId="10" fillId="0" borderId="3" xfId="0" applyFont="1" applyBorder="1" applyAlignment="1" applyProtection="1">
      <alignment horizontal="center" vertical="center"/>
      <protection locked="0"/>
    </xf>
    <xf numFmtId="0" fontId="6" fillId="10" borderId="4" xfId="0" applyFont="1" applyFill="1" applyBorder="1" applyAlignment="1" applyProtection="1">
      <alignment horizontal="center"/>
      <protection locked="0"/>
    </xf>
    <xf numFmtId="0" fontId="6" fillId="10" borderId="10" xfId="0" applyFont="1" applyFill="1" applyBorder="1" applyAlignment="1" applyProtection="1">
      <alignment horizontal="center"/>
      <protection locked="0"/>
    </xf>
    <xf numFmtId="0" fontId="6" fillId="10" borderId="7" xfId="0" applyFont="1" applyFill="1" applyBorder="1" applyAlignment="1" applyProtection="1">
      <alignment horizontal="center"/>
      <protection locked="0"/>
    </xf>
    <xf numFmtId="0" fontId="6" fillId="10" borderId="9" xfId="0" applyFont="1" applyFill="1" applyBorder="1" applyAlignment="1" applyProtection="1">
      <alignment horizontal="center"/>
      <protection locked="0"/>
    </xf>
    <xf numFmtId="0" fontId="6" fillId="10" borderId="21" xfId="0" applyFont="1" applyFill="1" applyBorder="1" applyAlignment="1" applyProtection="1">
      <alignment horizontal="center"/>
      <protection locked="0"/>
    </xf>
  </cellXfs>
  <cellStyles count="1">
    <cellStyle name="Normal" xfId="0" builtinId="0"/>
  </cellStyles>
  <dxfs count="185">
    <dxf>
      <numFmt numFmtId="167" formatCode="d/mm/yyyy"/>
      <fill>
        <patternFill patternType="solid">
          <fgColor theme="0" tint="-0.14999847407452621"/>
          <bgColor theme="0" tint="-0.14999847407452621"/>
        </patternFill>
      </fill>
      <border diagonalUp="0" diagonalDown="0">
        <left/>
        <right/>
        <top/>
        <bottom style="thin">
          <color theme="1"/>
        </bottom>
      </border>
      <protection locked="0" hidden="0"/>
    </dxf>
    <dxf>
      <numFmt numFmtId="167" formatCode="d/mm/yyyy"/>
      <fill>
        <patternFill patternType="solid">
          <fgColor theme="0" tint="-0.14999847407452621"/>
          <bgColor theme="0" tint="-0.14999847407452621"/>
        </patternFill>
      </fill>
      <border diagonalUp="0" diagonalDown="0" outline="0">
        <left/>
        <right/>
        <top/>
        <bottom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7" formatCode="d/mm/yyyy"/>
      <alignment horizontal="right" vertical="bottom" textRotation="0" wrapText="0" indent="0" justifyLastLine="0" shrinkToFit="0" readingOrder="0"/>
      <border diagonalUp="0" diagonalDown="0">
        <left/>
        <right/>
        <top style="thin">
          <color theme="1"/>
        </top>
        <bottom style="thin">
          <color theme="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7" formatCode="d/mm/yyyy"/>
      <alignment horizontal="right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/>
      </border>
      <protection locked="0" hidden="0"/>
    </dxf>
    <dxf>
      <protection locked="0" hidden="0"/>
    </dxf>
    <dxf>
      <protection locked="0" hidden="0"/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protection locked="0" hidden="0"/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</font>
      <protection locked="0" hidden="0"/>
    </dxf>
    <dxf>
      <protection locked="0" hidden="0"/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protection locked="0" hidden="0"/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0" hidden="0"/>
    </dxf>
    <dxf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protection locked="0" hidden="0"/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protection locked="0" hidden="0"/>
    </dxf>
    <dxf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3" tint="-0.499984740745262"/>
        </left>
        <right/>
        <top style="thin">
          <color theme="3" tint="-0.499984740745262"/>
        </top>
        <bottom style="thin">
          <color theme="3" tint="-0.499984740745262"/>
        </bottom>
      </border>
      <protection locked="0" hidden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alignment textRotation="0" wrapText="0" indent="0" justifyLastLine="0" shrinkToFit="0" readingOrder="0"/>
      <protection locked="0" hidden="0"/>
    </dxf>
    <dxf>
      <border outline="0">
        <top style="thin">
          <color theme="3" tint="-0.499984740745262"/>
        </top>
      </border>
    </dxf>
    <dxf>
      <border outline="0">
        <bottom style="thin">
          <color theme="3" tint="-0.499984740745262"/>
        </bottom>
      </border>
    </dxf>
    <dxf>
      <border diagonalUp="0" diagonalDown="0">
        <left style="thin">
          <color theme="3" tint="-0.499984740745262"/>
        </left>
        <right style="thin">
          <color theme="3" tint="-0.499984740745262"/>
        </right>
        <top style="thin">
          <color theme="3" tint="-0.499984740745262"/>
        </top>
        <bottom style="thin">
          <color theme="3" tint="-0.499984740745262"/>
        </bottom>
      </border>
    </dxf>
    <dxf>
      <alignment textRotation="0" wrapText="0" indent="0" justifyLastLine="0" shrinkToFit="0" readingOrder="0"/>
      <protection locked="0" hidden="0"/>
    </dxf>
    <dxf>
      <fill>
        <patternFill patternType="solid">
          <fgColor indexed="64"/>
          <bgColor theme="0" tint="-4.9989318521683403E-2"/>
        </patternFill>
      </fill>
      <alignment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numFmt numFmtId="0" formatCode="General"/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numFmt numFmtId="0" formatCode="General"/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numFmt numFmtId="0" formatCode="General"/>
      <fill>
        <patternFill patternType="solid">
          <fgColor indexed="64"/>
          <bgColor rgb="FFD1D1D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numFmt numFmtId="0" formatCode="General"/>
      <fill>
        <patternFill patternType="solid">
          <fgColor indexed="64"/>
          <bgColor rgb="FFD1D1D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numFmt numFmtId="0" formatCode="General"/>
      <fill>
        <patternFill patternType="solid">
          <fgColor indexed="64"/>
          <bgColor rgb="FFFFB06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numFmt numFmtId="0" formatCode="General"/>
      <fill>
        <patternFill patternType="solid">
          <fgColor indexed="64"/>
          <bgColor theme="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numFmt numFmtId="0" formatCode="General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numFmt numFmtId="0" formatCode="General"/>
      <fill>
        <patternFill patternType="solid">
          <fgColor indexed="64"/>
          <bgColor rgb="FFBEB2D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numFmt numFmtId="0" formatCode="General"/>
      <fill>
        <patternFill patternType="solid">
          <fgColor indexed="64"/>
          <bgColor rgb="FF66FF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numFmt numFmtId="0" formatCode="General"/>
      <fill>
        <patternFill patternType="solid">
          <fgColor indexed="64"/>
          <bgColor theme="9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numFmt numFmtId="0" formatCode="General"/>
      <fill>
        <patternFill patternType="solid">
          <fgColor indexed="64"/>
          <bgColor theme="6" tint="0.399975585192419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numFmt numFmtId="0" formatCode="General"/>
      <fill>
        <patternFill patternType="solid">
          <fgColor indexed="64"/>
          <bgColor rgb="FFFFFF66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numFmt numFmtId="0" formatCode="General"/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numFmt numFmtId="0" formatCode="General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numFmt numFmtId="0" formatCode="General"/>
      <fill>
        <patternFill patternType="solid">
          <fgColor indexed="64"/>
          <bgColor rgb="FFCCFF9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border outline="0">
        <bottom style="thin">
          <color rgb="FF000000"/>
        </bottom>
      </border>
    </dxf>
    <dxf>
      <border outline="0"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Calibri"/>
        <family val="2"/>
        <scheme val="minor"/>
      </font>
      <fill>
        <patternFill patternType="solid">
          <fgColor indexed="64"/>
          <bgColor rgb="FF70AD47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0" hidden="0"/>
    </dxf>
    <dxf>
      <font>
        <b/>
        <i val="0"/>
        <sz val="9"/>
        <color theme="0"/>
        <name val="Arial"/>
      </font>
      <fill>
        <patternFill patternType="solid">
          <fgColor rgb="FFD9D9D9"/>
          <bgColor theme="1"/>
        </patternFill>
      </fill>
    </dxf>
    <dxf>
      <font>
        <b/>
        <i val="0"/>
        <sz val="9"/>
        <name val="Arial"/>
      </font>
      <fill>
        <patternFill patternType="solid">
          <fgColor rgb="FFF2CCFF"/>
          <bgColor theme="6" tint="0.79998168889431442"/>
        </patternFill>
      </fill>
    </dxf>
    <dxf>
      <font>
        <b/>
        <i val="0"/>
        <sz val="9"/>
        <name val="Arial"/>
      </font>
      <fill>
        <patternFill patternType="solid">
          <fgColor rgb="FFFCE4D6"/>
          <bgColor rgb="FFFF9999"/>
        </patternFill>
      </fill>
    </dxf>
    <dxf>
      <font>
        <b/>
        <i val="0"/>
        <sz val="9"/>
        <name val="Arial"/>
      </font>
      <fill>
        <patternFill patternType="solid">
          <fgColor rgb="FFFCE4D6"/>
          <bgColor theme="7" tint="0.39994506668294322"/>
        </patternFill>
      </fill>
    </dxf>
    <dxf>
      <font>
        <b/>
        <i val="0"/>
        <sz val="9"/>
        <name val="Arial"/>
      </font>
      <fill>
        <patternFill patternType="solid">
          <fgColor rgb="FFFCE4D6"/>
          <bgColor rgb="FF00FFFF"/>
        </patternFill>
      </fill>
    </dxf>
    <dxf>
      <font>
        <b/>
        <i val="0"/>
        <sz val="9"/>
        <name val="Arial"/>
      </font>
      <fill>
        <patternFill patternType="solid">
          <fgColor rgb="FFFFEB9C"/>
          <bgColor rgb="FFFFFF66"/>
        </patternFill>
      </fill>
    </dxf>
    <dxf>
      <font>
        <b/>
        <i val="0"/>
        <sz val="9"/>
        <name val="Arial"/>
      </font>
      <fill>
        <patternFill patternType="solid">
          <fgColor rgb="FFC9D9EF"/>
          <bgColor rgb="FFC9D9EF"/>
        </patternFill>
      </fill>
    </dxf>
    <dxf>
      <font>
        <b/>
        <i val="0"/>
        <sz val="9"/>
        <name val="Arial"/>
      </font>
      <fill>
        <patternFill patternType="solid">
          <fgColor rgb="FFFFC7CE"/>
          <bgColor rgb="FFFF3300"/>
        </patternFill>
      </fill>
    </dxf>
    <dxf>
      <font>
        <b/>
        <i val="0"/>
        <sz val="9"/>
        <name val="Arial"/>
      </font>
      <fill>
        <patternFill patternType="solid">
          <fgColor auto="1"/>
          <bgColor rgb="FF92D05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E2A700"/>
        </patternFill>
      </fill>
    </dxf>
    <dxf>
      <font>
        <b/>
        <i val="0"/>
        <sz val="9"/>
        <name val="Arial"/>
      </font>
      <fill>
        <patternFill patternType="solid">
          <fgColor rgb="FFE2EFDA"/>
          <bgColor rgb="FFF79443"/>
        </patternFill>
      </fill>
    </dxf>
    <dxf>
      <font>
        <b/>
        <i val="0"/>
        <color theme="0"/>
      </font>
      <fill>
        <patternFill patternType="solid">
          <bgColor rgb="FFC00000"/>
        </patternFill>
      </fill>
    </dxf>
    <dxf>
      <font>
        <b/>
        <i val="0"/>
        <strike val="0"/>
        <color theme="1"/>
      </font>
      <fill>
        <patternFill>
          <bgColor rgb="FF01BCFF"/>
        </patternFill>
      </fill>
    </dxf>
    <dxf>
      <font>
        <b/>
        <i val="0"/>
        <color theme="1"/>
      </font>
      <fill>
        <patternFill>
          <bgColor rgb="FFF8A66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numFmt numFmtId="0" formatCode="General"/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numFmt numFmtId="0" formatCode="General"/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numFmt numFmtId="0" formatCode="General"/>
      <fill>
        <patternFill patternType="solid">
          <fgColor indexed="64"/>
          <bgColor rgb="FFD1D1D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numFmt numFmtId="0" formatCode="General"/>
      <fill>
        <patternFill patternType="solid">
          <fgColor indexed="64"/>
          <bgColor rgb="FFD1D1D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numFmt numFmtId="0" formatCode="General"/>
      <fill>
        <patternFill patternType="solid">
          <fgColor indexed="64"/>
          <bgColor rgb="FFFFB06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numFmt numFmtId="0" formatCode="General"/>
      <fill>
        <patternFill patternType="solid">
          <fgColor indexed="64"/>
          <bgColor theme="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numFmt numFmtId="0" formatCode="General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numFmt numFmtId="0" formatCode="General"/>
      <fill>
        <patternFill patternType="solid">
          <fgColor indexed="64"/>
          <bgColor rgb="FFBEB2D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numFmt numFmtId="0" formatCode="General"/>
      <fill>
        <patternFill patternType="solid">
          <fgColor indexed="64"/>
          <bgColor rgb="FF66FF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numFmt numFmtId="0" formatCode="General"/>
      <fill>
        <patternFill patternType="solid">
          <fgColor indexed="64"/>
          <bgColor theme="9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numFmt numFmtId="0" formatCode="General"/>
      <fill>
        <patternFill patternType="solid">
          <fgColor indexed="64"/>
          <bgColor theme="6" tint="0.399975585192419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numFmt numFmtId="0" formatCode="General"/>
      <fill>
        <patternFill patternType="solid">
          <fgColor indexed="64"/>
          <bgColor rgb="FFFFFF66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numFmt numFmtId="0" formatCode="General"/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numFmt numFmtId="0" formatCode="General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numFmt numFmtId="0" formatCode="General"/>
      <fill>
        <patternFill patternType="solid">
          <fgColor indexed="64"/>
          <bgColor rgb="FFCCFF9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border outline="0">
        <bottom style="thin">
          <color rgb="FF000000"/>
        </bottom>
      </border>
    </dxf>
    <dxf>
      <border outline="0"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Calibri"/>
        <family val="2"/>
        <scheme val="minor"/>
      </font>
      <fill>
        <patternFill patternType="solid">
          <fgColor indexed="64"/>
          <bgColor rgb="FF70AD47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0" hidden="0"/>
    </dxf>
    <dxf>
      <font>
        <b/>
        <i val="0"/>
        <sz val="9"/>
        <color theme="0"/>
        <name val="Arial"/>
      </font>
      <fill>
        <patternFill patternType="solid">
          <fgColor rgb="FFD9D9D9"/>
          <bgColor theme="1"/>
        </patternFill>
      </fill>
    </dxf>
    <dxf>
      <font>
        <b/>
        <i val="0"/>
        <sz val="9"/>
        <name val="Arial"/>
      </font>
      <fill>
        <patternFill patternType="solid">
          <fgColor rgb="FFF2CCFF"/>
          <bgColor theme="6" tint="0.79998168889431442"/>
        </patternFill>
      </fill>
    </dxf>
    <dxf>
      <font>
        <b/>
        <i val="0"/>
        <sz val="9"/>
        <name val="Arial"/>
      </font>
      <fill>
        <patternFill patternType="solid">
          <fgColor rgb="FFFCE4D6"/>
          <bgColor rgb="FFFF9999"/>
        </patternFill>
      </fill>
    </dxf>
    <dxf>
      <font>
        <b/>
        <i val="0"/>
        <sz val="9"/>
        <name val="Arial"/>
      </font>
      <fill>
        <patternFill patternType="solid">
          <fgColor rgb="FFFCE4D6"/>
          <bgColor theme="7" tint="0.39994506668294322"/>
        </patternFill>
      </fill>
    </dxf>
    <dxf>
      <font>
        <b/>
        <i val="0"/>
        <sz val="9"/>
        <name val="Arial"/>
      </font>
      <fill>
        <patternFill patternType="solid">
          <fgColor rgb="FFFCE4D6"/>
          <bgColor rgb="FF00FFFF"/>
        </patternFill>
      </fill>
    </dxf>
    <dxf>
      <font>
        <b/>
        <i val="0"/>
        <sz val="9"/>
        <name val="Arial"/>
      </font>
      <fill>
        <patternFill patternType="solid">
          <fgColor rgb="FFFFEB9C"/>
          <bgColor rgb="FFFFFF66"/>
        </patternFill>
      </fill>
    </dxf>
    <dxf>
      <font>
        <b/>
        <i val="0"/>
        <sz val="9"/>
        <name val="Arial"/>
      </font>
      <fill>
        <patternFill patternType="solid">
          <fgColor rgb="FFC9D9EF"/>
          <bgColor rgb="FFC9D9EF"/>
        </patternFill>
      </fill>
    </dxf>
    <dxf>
      <font>
        <b/>
        <i val="0"/>
        <sz val="9"/>
        <name val="Arial"/>
      </font>
      <fill>
        <patternFill patternType="solid">
          <fgColor rgb="FFFFC7CE"/>
          <bgColor rgb="FFFF3300"/>
        </patternFill>
      </fill>
    </dxf>
    <dxf>
      <font>
        <b/>
        <i val="0"/>
        <sz val="9"/>
        <name val="Arial"/>
      </font>
      <fill>
        <patternFill patternType="solid">
          <fgColor auto="1"/>
          <bgColor rgb="FF92D05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E2A700"/>
        </patternFill>
      </fill>
    </dxf>
    <dxf>
      <font>
        <b/>
        <i val="0"/>
        <sz val="9"/>
        <name val="Arial"/>
      </font>
      <fill>
        <patternFill patternType="solid">
          <fgColor rgb="FFE2EFDA"/>
          <bgColor rgb="FFF79443"/>
        </patternFill>
      </fill>
    </dxf>
    <dxf>
      <font>
        <b/>
        <i val="0"/>
        <color theme="0"/>
      </font>
      <fill>
        <patternFill patternType="solid">
          <bgColor rgb="FFC00000"/>
        </patternFill>
      </fill>
    </dxf>
    <dxf>
      <font>
        <b/>
        <i val="0"/>
        <strike val="0"/>
        <color theme="1"/>
      </font>
      <fill>
        <patternFill>
          <bgColor rgb="FF01BCFF"/>
        </patternFill>
      </fill>
    </dxf>
    <dxf>
      <font>
        <b/>
        <i val="0"/>
        <color theme="1"/>
      </font>
      <fill>
        <patternFill>
          <bgColor rgb="FFF8A662"/>
        </patternFill>
      </fill>
    </dxf>
  </dxfs>
  <tableStyles count="0" defaultTableStyle="TableStyleMedium9" defaultPivotStyle="PivotStyleLight16"/>
  <colors>
    <mruColors>
      <color rgb="FF01BCFF"/>
      <color rgb="FFF8A662"/>
      <color rgb="FFE2A700"/>
      <color rgb="FFF79443"/>
      <color rgb="FFFFB061"/>
      <color rgb="FF777777"/>
      <color rgb="FFBEB2D2"/>
      <color rgb="FFD1D1D1"/>
      <color rgb="FF929292"/>
      <color rgb="FFC462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4898896-CF31-4960-BA5B-E738494C8D55}" name="tblSistemas6" displayName="tblSistemas6" ref="B9:BA29" totalsRowShown="0" headerRowDxfId="169" dataDxfId="168" headerRowBorderDxfId="166" tableBorderDxfId="167">
  <autoFilter ref="B9:BA29" xr:uid="{3736A9A5-8FA6-46D9-BE29-A3203CB8CE2A}"/>
  <tableColumns count="52">
    <tableColumn id="1" xr3:uid="{32A77333-B531-45B5-8E5A-C1D250BC790B}" name="DNI" dataDxfId="165"/>
    <tableColumn id="2" xr3:uid="{6FF3EA41-9C92-4099-B072-C2DEA2F5FF5B}" name="NOMBRE" dataDxfId="164"/>
    <tableColumn id="3" xr3:uid="{1432C7BC-5ACB-4096-9299-66C8904228FA}" name="AREA" dataDxfId="163"/>
    <tableColumn id="4" xr3:uid="{D18C9BE5-17AB-449C-8E27-896EED92F215}" name="SUB_AREA" dataDxfId="162"/>
    <tableColumn id="5" xr3:uid="{B63F120A-4303-40DE-B4B5-C9188932E7BC}" name="CARGO" dataDxfId="161"/>
    <tableColumn id="6" xr3:uid="{F4D840A1-C0BB-4B9E-B7FC-C9A75A5FD068}" name="TIPO_TRABAJADOR" dataDxfId="160"/>
    <tableColumn id="8" xr3:uid="{6537D726-8430-42E8-B67A-CCF68077641E}" name="22" dataDxfId="159"/>
    <tableColumn id="9" xr3:uid="{13319F14-A87D-41B8-AFC3-6A0B22FF73F3}" name="23" dataDxfId="158"/>
    <tableColumn id="10" xr3:uid="{4BE3B84A-55FE-42A9-9A5C-7AA1B780C6C1}" name="24" dataDxfId="157"/>
    <tableColumn id="11" xr3:uid="{7B8A80C7-A4A5-4F16-8CCE-4ADBA79F957F}" name="25" dataDxfId="156"/>
    <tableColumn id="12" xr3:uid="{FDEFD7AA-7354-481C-99DB-39708DCCF6A2}" name="26" dataDxfId="155"/>
    <tableColumn id="13" xr3:uid="{4E658888-124E-4645-A696-D14DFAF20BCD}" name="27" dataDxfId="154"/>
    <tableColumn id="14" xr3:uid="{707BBD9A-E3E0-41B3-9869-0053C8C71841}" name="28" dataDxfId="153"/>
    <tableColumn id="15" xr3:uid="{21FCF5B7-09A6-4609-8119-EEF99F6C49BE}" name="29" dataDxfId="152"/>
    <tableColumn id="16" xr3:uid="{FFAD584D-3542-465A-AA73-C8D16A2D6587}" name="30" dataDxfId="151"/>
    <tableColumn id="17" xr3:uid="{55B16ABE-B44F-4744-A236-CD20AFDBC527}" name="31" dataDxfId="150"/>
    <tableColumn id="18" xr3:uid="{6BA5BA03-BE5C-4AB4-B57C-531747F0EFB5}" name="01" dataDxfId="149"/>
    <tableColumn id="19" xr3:uid="{59F376DE-BC9E-40B8-AA53-0E29A1D41AE9}" name="02" dataDxfId="148"/>
    <tableColumn id="20" xr3:uid="{D8161C07-7AD9-4560-A1BB-DE82ADE4D0FA}" name="03" dataDxfId="147"/>
    <tableColumn id="21" xr3:uid="{500B0C98-491F-4E60-AE6A-56578DFD2DB1}" name="04" dataDxfId="146"/>
    <tableColumn id="22" xr3:uid="{61DFE25D-2E66-4598-8B55-74D9AB9B9F19}" name="05" dataDxfId="145"/>
    <tableColumn id="23" xr3:uid="{A13022C2-5DCD-4636-B9BE-596E2131C038}" name="06" dataDxfId="144"/>
    <tableColumn id="24" xr3:uid="{32D60DF3-52F9-4B5F-A7AB-8935ABB004E1}" name="07" dataDxfId="143"/>
    <tableColumn id="25" xr3:uid="{81892D0B-BB2B-4C63-ABF4-C97B15FF254F}" name="08" dataDxfId="142"/>
    <tableColumn id="26" xr3:uid="{CD36DB9B-E283-4490-9F07-1D1C725540F6}" name="09" dataDxfId="141"/>
    <tableColumn id="27" xr3:uid="{8D340909-4782-424D-B5E1-9EEEEE8F581A}" name="10" dataDxfId="140"/>
    <tableColumn id="28" xr3:uid="{E6EFEDC6-FE61-48C0-9CCC-4E79154D84FB}" name="11" dataDxfId="139"/>
    <tableColumn id="29" xr3:uid="{71463B33-7B65-4E90-9BDD-987453538B6C}" name="12" dataDxfId="138"/>
    <tableColumn id="30" xr3:uid="{86B18349-BB09-4EA0-B571-642B0B3362D6}" name="13" dataDxfId="137"/>
    <tableColumn id="31" xr3:uid="{68183316-16EB-4C8F-B9AA-1CC1B18992E1}" name="14" dataDxfId="136"/>
    <tableColumn id="32" xr3:uid="{CFDA8F08-A988-4C15-8DC0-CDFB41DAC6BB}" name="15" dataDxfId="135"/>
    <tableColumn id="33" xr3:uid="{2E09FEA7-315F-4029-BEDB-83AC6F9AC8A0}" name="16" dataDxfId="134"/>
    <tableColumn id="34" xr3:uid="{F01FC1E6-6EC7-4340-9D53-21932CD91F4F}" name="17" dataDxfId="133"/>
    <tableColumn id="35" xr3:uid="{92AE63F6-75CB-4B4A-9931-4BD135A7EDA7}" name="18" dataDxfId="132"/>
    <tableColumn id="36" xr3:uid="{CF32BB95-2A36-486D-ABEE-36485E028B19}" name="19" dataDxfId="131"/>
    <tableColumn id="37" xr3:uid="{C285728D-3A71-493F-B9CA-4C8DBC851B5C}" name="20" dataDxfId="130"/>
    <tableColumn id="7" xr3:uid="{3BCAA220-3655-49CC-BADF-68174D6A10C8}" name="21" dataDxfId="129"/>
    <tableColumn id="38" xr3:uid="{8B7A1537-6E26-41B0-AF88-5464C1C67A25}" name="A" dataDxfId="128">
      <calculatedColumnFormula>COUNTIF(H10:AL10,"A")</calculatedColumnFormula>
    </tableColumn>
    <tableColumn id="39" xr3:uid="{D0E0BF40-61F7-47F8-94A1-B11E3CC26417}" name="F" dataDxfId="127">
      <calculatedColumnFormula>COUNTIF(H10:AL10,"F")</calculatedColumnFormula>
    </tableColumn>
    <tableColumn id="40" xr3:uid="{3141F1E5-3633-45F5-9EDB-21166AFD0C72}" name="D" dataDxfId="126">
      <calculatedColumnFormula>COUNTIF(H10:AL10,"D")</calculatedColumnFormula>
    </tableColumn>
    <tableColumn id="41" xr3:uid="{5FB12017-4F0F-4AA0-9268-923D7FDC9546}" name="V" dataDxfId="125">
      <calculatedColumnFormula>COUNTIF(H10:AL10,"V")</calculatedColumnFormula>
    </tableColumn>
    <tableColumn id="42" xr3:uid="{E807B1D0-A5CA-48AC-8D46-2943F6CDDF4B}" name="DM" dataDxfId="124">
      <calculatedColumnFormula>COUNTIF(H10:AL10,"DM")</calculatedColumnFormula>
    </tableColumn>
    <tableColumn id="43" xr3:uid="{417500F4-EE79-447B-9E7D-CFC79C2E8807}" name="AM" dataDxfId="123">
      <calculatedColumnFormula>COUNTIF(H10:AL10,"AM")</calculatedColumnFormula>
    </tableColumn>
    <tableColumn id="44" xr3:uid="{F2B28248-B3B6-4AE4-AA21-6407194D44CD}" name="LCG" dataDxfId="122">
      <calculatedColumnFormula>COUNTIF(H10:AL10,"LCG")</calculatedColumnFormula>
    </tableColumn>
    <tableColumn id="45" xr3:uid="{926600C5-FEBD-47F8-B694-9DBD012C01D2}" name="LSG" dataDxfId="121">
      <calculatedColumnFormula>COUNTIF(H10:AL10,"LSG")</calculatedColumnFormula>
    </tableColumn>
    <tableColumn id="46" xr3:uid="{A18524DE-6DF6-4BB4-A3C3-F423A8A03BF6}" name="LPP" dataDxfId="120">
      <calculatedColumnFormula>COUNTIF(H10:AL10,"LPP")</calculatedColumnFormula>
    </tableColumn>
    <tableColumn id="47" xr3:uid="{F1CB2BAE-7760-4EBA-95F6-7B8B9F4AB6C7}" name="S" dataDxfId="119">
      <calculatedColumnFormula>COUNTIF(H10:AL10,"S")</calculatedColumnFormula>
    </tableColumn>
    <tableColumn id="48" xr3:uid="{83006F21-08EC-462A-94A5-A4F16E5D8956}" name="SP" dataDxfId="118">
      <calculatedColumnFormula>COUNTIF(H10:AL10,"SP")</calculatedColumnFormula>
    </tableColumn>
    <tableColumn id="49" xr3:uid="{842AE426-EC05-4563-B246-D27C4FA0B93C}" name="CE" dataDxfId="117">
      <calculatedColumnFormula>COUNTIF(H10:AL10,"CE")</calculatedColumnFormula>
    </tableColumn>
    <tableColumn id="51" xr3:uid="{FA399EF9-9D57-47F6-962D-D2A4FB489EC1}" name="FT" dataDxfId="116">
      <calculatedColumnFormula>COUNTIF(H10:AL10,"FT")</calculatedColumnFormula>
    </tableColumn>
    <tableColumn id="52" xr3:uid="{2724FB7F-DF4D-4FE4-A61B-ACC6C5E131EE}" name="FD" dataDxfId="115">
      <calculatedColumnFormula>COUNTIF(H10:AL10,"FD")</calculatedColumnFormula>
    </tableColumn>
    <tableColumn id="50" xr3:uid="{3B888074-CFA8-47D4-B008-6C7CB04462CF}" name="VA" dataDxfId="114">
      <calculatedColumnFormula>COUNTIF(H10:AL10,"VA")</calculatedColumnFormula>
    </tableColumn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A49E4C7-1BDD-4B45-8F97-1B68EBAB3CE3}" name="tblSistemas69" displayName="tblSistemas69" ref="B9:BA29" totalsRowShown="0" headerRowDxfId="98" dataDxfId="97" headerRowBorderDxfId="95" tableBorderDxfId="96">
  <autoFilter ref="B9:BA29" xr:uid="{3736A9A5-8FA6-46D9-BE29-A3203CB8CE2A}"/>
  <tableColumns count="52">
    <tableColumn id="1" xr3:uid="{FBCC0A83-CE34-42AC-ABD3-0A72E3BFED4A}" name="DNI" dataDxfId="94"/>
    <tableColumn id="2" xr3:uid="{B26ACA16-730B-4C29-A665-C7AC6D087753}" name="NOMBRE" dataDxfId="93"/>
    <tableColumn id="3" xr3:uid="{C299BDA7-6072-4BCB-A9E0-1A97CC8A80DE}" name="AREA" dataDxfId="92"/>
    <tableColumn id="4" xr3:uid="{8D4FEC75-A277-427C-8853-4CBCFDD01213}" name="SUB_AREA" dataDxfId="91"/>
    <tableColumn id="5" xr3:uid="{C23CEE48-5CCD-4712-B010-35C9E589CF4B}" name="CARGO" dataDxfId="90"/>
    <tableColumn id="6" xr3:uid="{6F7EB1B7-075A-45D2-BB3D-9DB306E2ECFF}" name="TIPO_TRABAJADOR" dataDxfId="89"/>
    <tableColumn id="8" xr3:uid="{91A5E13C-F0EA-4766-979A-AAC1115B0ADE}" name="22" dataDxfId="88"/>
    <tableColumn id="9" xr3:uid="{76CD6DEF-D817-41FF-A1AF-EEB8CA30EAC4}" name="23" dataDxfId="87"/>
    <tableColumn id="10" xr3:uid="{66D8FA74-A015-4DAC-A234-BE68571DF51C}" name="24" dataDxfId="86"/>
    <tableColumn id="11" xr3:uid="{3314F017-D5B4-4187-BA7F-733A70DE6890}" name="25" dataDxfId="85"/>
    <tableColumn id="12" xr3:uid="{842D4E46-E9F1-4274-A586-886C8F083B56}" name="26" dataDxfId="84"/>
    <tableColumn id="13" xr3:uid="{90A10157-E903-46A8-8993-BE6DA7CAA85C}" name="27" dataDxfId="83"/>
    <tableColumn id="14" xr3:uid="{05F7C76D-9782-47E2-8098-05AA24F9C93A}" name="28" dataDxfId="82"/>
    <tableColumn id="15" xr3:uid="{04C7F89F-0E43-4A60-853A-8203CED2810A}" name="29" dataDxfId="81"/>
    <tableColumn id="16" xr3:uid="{F14068AB-E122-4EF9-8043-A50DCA67C799}" name="30" dataDxfId="80"/>
    <tableColumn id="17" xr3:uid="{88EDC046-AD1E-4530-AE8F-890A5483A285}" name="31" dataDxfId="79"/>
    <tableColumn id="18" xr3:uid="{376F0B25-4CB8-449C-AA96-E643519A6DB2}" name="01" dataDxfId="78"/>
    <tableColumn id="19" xr3:uid="{18A69E67-011D-4F57-BEC3-BA01613CD109}" name="02" dataDxfId="77"/>
    <tableColumn id="20" xr3:uid="{B13986F6-A6B4-413D-8E64-7683F70FE763}" name="03" dataDxfId="76"/>
    <tableColumn id="21" xr3:uid="{D6F39DF0-5233-4192-BBE8-54C9773CA224}" name="04" dataDxfId="75"/>
    <tableColumn id="22" xr3:uid="{98EEEC48-A2A9-4F65-8FEB-1A73D8286EED}" name="05" dataDxfId="74"/>
    <tableColumn id="23" xr3:uid="{C784DED5-353F-4B33-9C9D-617270215027}" name="06" dataDxfId="73"/>
    <tableColumn id="24" xr3:uid="{1BB93B1C-7FDF-422B-B7E1-CDA3D1A943EA}" name="07" dataDxfId="72"/>
    <tableColumn id="25" xr3:uid="{0EDF985F-8CE5-4E67-B4AE-C5D0F1196C39}" name="08" dataDxfId="71"/>
    <tableColumn id="26" xr3:uid="{FCF5E92B-5D97-4080-8517-4827A527C408}" name="09" dataDxfId="70"/>
    <tableColumn id="27" xr3:uid="{1B960D55-1930-4DF8-8EED-6E0F2ACF3326}" name="10" dataDxfId="69"/>
    <tableColumn id="28" xr3:uid="{07329CAA-1D9B-4C82-BB16-2C3705BCFDB9}" name="11" dataDxfId="68"/>
    <tableColumn id="29" xr3:uid="{D8B99243-218C-4A9D-ACAF-2C76C17BD501}" name="12" dataDxfId="67"/>
    <tableColumn id="30" xr3:uid="{42BD707E-D9B5-4273-8419-D1037F052437}" name="13" dataDxfId="66"/>
    <tableColumn id="31" xr3:uid="{E42C31A6-FD76-4C76-99B6-24B8C04FE196}" name="14" dataDxfId="65"/>
    <tableColumn id="32" xr3:uid="{AFAEFC4F-13D8-4E88-B8BB-6EE93A47FA09}" name="15" dataDxfId="64"/>
    <tableColumn id="33" xr3:uid="{E909E477-E969-406E-A475-D8E00FB96EFC}" name="16" dataDxfId="63"/>
    <tableColumn id="34" xr3:uid="{CA8DE6BC-0855-4960-81A8-40C1D0121057}" name="17" dataDxfId="62"/>
    <tableColumn id="35" xr3:uid="{B0783790-08F8-48D3-BA83-7A011E5716A3}" name="18" dataDxfId="61"/>
    <tableColumn id="36" xr3:uid="{329EA28A-AFC8-4977-A73C-3DA6BD986B9B}" name="19" dataDxfId="60"/>
    <tableColumn id="37" xr3:uid="{FA145B41-00E5-4079-8B4D-685C5DC2C4D6}" name="20" dataDxfId="59"/>
    <tableColumn id="7" xr3:uid="{C2E007DC-3128-4246-B323-A3C1A13CDA0D}" name="21" dataDxfId="58"/>
    <tableColumn id="38" xr3:uid="{08B71DAA-A521-4BA7-A599-373E0EACC138}" name="A" dataDxfId="57">
      <calculatedColumnFormula>COUNTIF(H10:AL10,"A")</calculatedColumnFormula>
    </tableColumn>
    <tableColumn id="39" xr3:uid="{EB4ADB17-576F-4BDE-AC04-A10BB41A8FBB}" name="F" dataDxfId="56">
      <calculatedColumnFormula>COUNTIF(H10:AL10,"F")</calculatedColumnFormula>
    </tableColumn>
    <tableColumn id="40" xr3:uid="{FAA980A1-5C05-476C-8B49-E43F6634BBD2}" name="D" dataDxfId="55">
      <calculatedColumnFormula>COUNTIF(H10:AL10,"D")</calculatedColumnFormula>
    </tableColumn>
    <tableColumn id="41" xr3:uid="{6AA062D9-D319-4882-A346-2861EAC3C8FF}" name="V" dataDxfId="54">
      <calculatedColumnFormula>COUNTIF(H10:AL10,"V")</calculatedColumnFormula>
    </tableColumn>
    <tableColumn id="42" xr3:uid="{02B82E4A-73E8-4C88-8046-CDB007A3338F}" name="DM" dataDxfId="53">
      <calculatedColumnFormula>COUNTIF(H10:AL10,"DM")</calculatedColumnFormula>
    </tableColumn>
    <tableColumn id="43" xr3:uid="{1F13E7E1-EE57-4517-89C4-74B1F2200F47}" name="AM" dataDxfId="52">
      <calculatedColumnFormula>COUNTIF(H10:AL10,"AM")</calculatedColumnFormula>
    </tableColumn>
    <tableColumn id="44" xr3:uid="{DF40D0C0-D22E-4D29-BAFD-70D5CD6DFD24}" name="LCG" dataDxfId="51">
      <calculatedColumnFormula>COUNTIF(H10:AL10,"LCG")</calculatedColumnFormula>
    </tableColumn>
    <tableColumn id="45" xr3:uid="{36944372-674D-424D-A8A5-516054DAD6E6}" name="LSG" dataDxfId="50">
      <calculatedColumnFormula>COUNTIF(H10:AL10,"LSG")</calculatedColumnFormula>
    </tableColumn>
    <tableColumn id="46" xr3:uid="{F0F768D9-AAEE-4D1B-8C7D-C0CA34C6ABD2}" name="LPP" dataDxfId="49">
      <calculatedColumnFormula>COUNTIF(H10:AL10,"LPP")</calculatedColumnFormula>
    </tableColumn>
    <tableColumn id="47" xr3:uid="{B0A369F0-D4A4-4C8E-9F94-DDB7F4BEE925}" name="S" dataDxfId="48">
      <calculatedColumnFormula>COUNTIF(H10:AL10,"S")</calculatedColumnFormula>
    </tableColumn>
    <tableColumn id="48" xr3:uid="{E7AD8C13-E7EA-4C62-A851-D63FDF8AEE6A}" name="SP" dataDxfId="47">
      <calculatedColumnFormula>COUNTIF(H10:AL10,"SP")</calculatedColumnFormula>
    </tableColumn>
    <tableColumn id="49" xr3:uid="{E28A9BA8-1320-4E31-986F-5EDC639345AE}" name="CE" dataDxfId="46">
      <calculatedColumnFormula>COUNTIF(H10:AL10,"CE")</calculatedColumnFormula>
    </tableColumn>
    <tableColumn id="51" xr3:uid="{A6ED67C4-FC7C-45EE-BE3B-7B5BA2540C35}" name="FT" dataDxfId="45">
      <calculatedColumnFormula>COUNTIF(H10:AL10,"FT")</calculatedColumnFormula>
    </tableColumn>
    <tableColumn id="52" xr3:uid="{D9424CED-027B-4E82-9AA9-8C8558A02A9D}" name="FD" dataDxfId="44">
      <calculatedColumnFormula>COUNTIF(H10:AL10,"FD")</calculatedColumnFormula>
    </tableColumn>
    <tableColumn id="50" xr3:uid="{9122FBBB-E7C6-493F-8356-62EC0B8D4EF2}" name="VA" dataDxfId="43">
      <calculatedColumnFormula>COUNTIF(H10:AL10,"VA")</calculatedColumnFormula>
    </tableColumn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92E3BFA-9B26-4077-93FA-1946E3966BC0}" name="tblEstados" displayName="tblEstados" ref="B4:C19" totalsRowShown="0" headerRowDxfId="42" dataDxfId="41" headerRowBorderDxfId="39" tableBorderDxfId="40" totalsRowBorderDxfId="38">
  <autoFilter ref="B4:C19" xr:uid="{192E3BFA-9B26-4077-93FA-1946E3966BC0}"/>
  <tableColumns count="2">
    <tableColumn id="1" xr3:uid="{43B96003-2663-4020-9FC5-24304D7C7022}" name="CODIGO" dataDxfId="37"/>
    <tableColumn id="2" xr3:uid="{605A0D7D-182F-445C-A965-DCDF0023428E}" name="DESCRIPCION" dataDxfId="36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B7A612C-BB81-4DA8-8182-F08C492F7BBC}" name="tbl_Area" displayName="tbl_Area" ref="B35:C49" totalsRowShown="0" headerRowDxfId="35" dataDxfId="34" headerRowBorderDxfId="32" tableBorderDxfId="33" totalsRowBorderDxfId="31">
  <autoFilter ref="B35:C49" xr:uid="{0B7A612C-BB81-4DA8-8182-F08C492F7BBC}"/>
  <tableColumns count="2">
    <tableColumn id="1" xr3:uid="{CF42E07A-28C1-4650-AB89-BE42074C66C0}" name="Id_Area" dataDxfId="30"/>
    <tableColumn id="2" xr3:uid="{F5708404-C15C-464C-A3AE-E83BA0D4AF8E}" name="Area" dataDxfId="29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4541F3E-50DB-4808-9673-A19CBFEBAE63}" name="tbl_SubArea" displayName="tbl_SubArea" ref="E35:H45" totalsRowShown="0" headerRowDxfId="28" dataDxfId="27" headerRowBorderDxfId="25" tableBorderDxfId="26" totalsRowBorderDxfId="24">
  <autoFilter ref="E35:H45" xr:uid="{B4541F3E-50DB-4808-9673-A19CBFEBAE63}"/>
  <tableColumns count="4">
    <tableColumn id="1" xr3:uid="{8E5A46F0-AFB5-495C-9D84-379465D4926F}" name="IdSubArea" dataDxfId="23"/>
    <tableColumn id="2" xr3:uid="{7FF06586-FAD8-42B6-A4CE-262BAA26EFEF}" name="IdArea" dataDxfId="22"/>
    <tableColumn id="3" xr3:uid="{69D2CFB1-AA84-430D-9986-A359A2FF9762}" name="Area" dataDxfId="21"/>
    <tableColumn id="4" xr3:uid="{4FC12109-AA7E-4747-A509-D8A061DC1D83}" name="SubArea" dataDxfId="20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220241D-E6EC-4FE3-A69E-205D427BE6ED}" name="tbl_Trabajador" displayName="tbl_Trabajador" ref="B61:C64" totalsRowShown="0" headerRowDxfId="19" dataDxfId="18" headerRowBorderDxfId="16" tableBorderDxfId="17" totalsRowBorderDxfId="15">
  <autoFilter ref="B61:C64" xr:uid="{1220241D-E6EC-4FE3-A69E-205D427BE6ED}"/>
  <tableColumns count="2">
    <tableColumn id="1" xr3:uid="{38CEAE25-0244-404F-A6DA-9E149ADA99B7}" name="Id_Tipo_Trab" dataDxfId="14"/>
    <tableColumn id="2" xr3:uid="{5C959B27-C8AE-4307-91BF-999290156383}" name="Tipo_Trab" dataDxfId="13"/>
  </tableColumns>
  <tableStyleInfo name="TableStyleLight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07289F4-197C-4534-83A7-BF53E9B7CF27}" name="tbl_Periodo" displayName="tbl_Periodo" ref="E50:F62" totalsRowShown="0" headerRowDxfId="12" dataDxfId="11" headerRowBorderDxfId="9" tableBorderDxfId="10" totalsRowBorderDxfId="8">
  <autoFilter ref="E50:F62" xr:uid="{A07289F4-197C-4534-83A7-BF53E9B7CF27}"/>
  <tableColumns count="2">
    <tableColumn id="1" xr3:uid="{6B20C0F8-077A-4DCD-A7F7-66145A97A234}" name="Id_Periodo" dataDxfId="7"/>
    <tableColumn id="2" xr3:uid="{619E2313-0F63-46EE-A45F-5C6433F1CD95}" name="Periodo" dataDxfId="6"/>
  </tableColumns>
  <tableStyleInfo name="TableStyleLight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4C65126-4345-4D69-9812-A41D50C430F2}" name="tb_periodo_vigencia" displayName="tb_periodo_vigencia" ref="B69:C71" totalsRowCount="1" headerRowDxfId="5" dataDxfId="4">
  <autoFilter ref="B69:C70" xr:uid="{64C65126-4345-4D69-9812-A41D50C430F2}"/>
  <tableColumns count="2">
    <tableColumn id="1" xr3:uid="{F8652071-DF4E-43FA-8F11-EDCD19D0BD0A}" name="FechaInicio" dataDxfId="2" totalsRowDxfId="3"/>
    <tableColumn id="2" xr3:uid="{6EFC1A8C-3B6A-4DB0-9B3C-5BED273FD88F}" name="FechaFin" dataDxfId="0" totalsRowDxfId="1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table" Target="../tables/table3.xml"/><Relationship Id="rId6" Type="http://schemas.openxmlformats.org/officeDocument/2006/relationships/table" Target="../tables/table8.xml"/><Relationship Id="rId5" Type="http://schemas.openxmlformats.org/officeDocument/2006/relationships/table" Target="../tables/table7.xml"/><Relationship Id="rId4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B10D0-9E8D-4945-96FF-30FE16B9EF71}">
  <dimension ref="B1:BA33"/>
  <sheetViews>
    <sheetView tabSelected="1" zoomScale="55" zoomScaleNormal="55" workbookViewId="0">
      <pane xSplit="3" ySplit="1" topLeftCell="AP2" activePane="bottomRight" state="frozen"/>
      <selection pane="bottomRight" activeCell="D13" sqref="D13"/>
      <selection pane="bottomLeft" activeCell="A2" sqref="A2"/>
      <selection pane="topRight" activeCell="D1" sqref="D1"/>
    </sheetView>
  </sheetViews>
  <sheetFormatPr defaultColWidth="8.5703125" defaultRowHeight="14.45"/>
  <cols>
    <col min="1" max="1" width="14.7109375" style="1" customWidth="1"/>
    <col min="2" max="2" width="21.140625" style="1" customWidth="1"/>
    <col min="3" max="3" width="40.5703125" style="1" customWidth="1"/>
    <col min="4" max="4" width="20.42578125" style="1" customWidth="1"/>
    <col min="5" max="5" width="30.42578125" style="1" customWidth="1"/>
    <col min="6" max="6" width="32.7109375" style="1" customWidth="1"/>
    <col min="7" max="7" width="27.85546875" style="1" customWidth="1"/>
    <col min="8" max="10" width="12.28515625" style="1" customWidth="1"/>
    <col min="11" max="11" width="11.7109375" style="1" customWidth="1"/>
    <col min="12" max="12" width="11.85546875" style="1" customWidth="1"/>
    <col min="13" max="13" width="12.7109375" style="1" customWidth="1"/>
    <col min="14" max="14" width="13" style="1" customWidth="1"/>
    <col min="15" max="15" width="12.28515625" style="1" customWidth="1"/>
    <col min="16" max="16" width="12.7109375" style="1" customWidth="1"/>
    <col min="17" max="17" width="13" style="1" customWidth="1"/>
    <col min="18" max="18" width="12.28515625" style="1" customWidth="1"/>
    <col min="19" max="19" width="12.5703125" style="1" customWidth="1"/>
    <col min="20" max="20" width="12.7109375" style="1" customWidth="1"/>
    <col min="21" max="21" width="12" style="1" customWidth="1"/>
    <col min="22" max="22" width="12.7109375" style="1" customWidth="1"/>
    <col min="23" max="23" width="12.42578125" style="1" customWidth="1"/>
    <col min="24" max="24" width="12.7109375" style="1" customWidth="1"/>
    <col min="25" max="25" width="12.5703125" style="1" customWidth="1"/>
    <col min="26" max="27" width="12.7109375" style="1" customWidth="1"/>
    <col min="28" max="28" width="12.28515625" style="1" customWidth="1"/>
    <col min="29" max="29" width="13.28515625" style="1" customWidth="1"/>
    <col min="30" max="30" width="12.42578125" style="1" customWidth="1"/>
    <col min="31" max="31" width="13.28515625" style="1" customWidth="1"/>
    <col min="32" max="32" width="12.28515625" style="1" customWidth="1"/>
    <col min="33" max="33" width="12.7109375" style="1" customWidth="1"/>
    <col min="34" max="34" width="12.5703125" style="1" customWidth="1"/>
    <col min="35" max="35" width="12.28515625" style="1" customWidth="1"/>
    <col min="36" max="37" width="12.7109375" style="1" customWidth="1"/>
    <col min="38" max="38" width="12.42578125" style="1" customWidth="1"/>
    <col min="39" max="39" width="11.28515625" style="1" bestFit="1" customWidth="1"/>
    <col min="40" max="40" width="10.7109375" style="1" bestFit="1" customWidth="1"/>
    <col min="41" max="41" width="12.85546875" style="1" bestFit="1" customWidth="1"/>
    <col min="42" max="42" width="14.85546875" style="1" bestFit="1" customWidth="1"/>
    <col min="43" max="43" width="22.5703125" style="1" bestFit="1" customWidth="1"/>
    <col min="44" max="44" width="21.140625" style="1" bestFit="1" customWidth="1"/>
    <col min="45" max="45" width="24" style="1" bestFit="1" customWidth="1"/>
    <col min="46" max="46" width="22.85546875" style="1" bestFit="1" customWidth="1"/>
    <col min="47" max="47" width="18.7109375" style="1" bestFit="1" customWidth="1"/>
    <col min="48" max="48" width="14.85546875" style="1" bestFit="1" customWidth="1"/>
    <col min="49" max="49" width="12.7109375" style="1" bestFit="1" customWidth="1"/>
    <col min="50" max="50" width="12.42578125" style="1" bestFit="1" customWidth="1"/>
    <col min="51" max="51" width="29.5703125" style="1" customWidth="1"/>
    <col min="52" max="52" width="26" style="1" customWidth="1"/>
    <col min="53" max="53" width="28.140625" style="1" customWidth="1"/>
    <col min="54" max="16384" width="8.5703125" style="1"/>
  </cols>
  <sheetData>
    <row r="1" spans="2:53" ht="25.9">
      <c r="B1" s="118" t="s">
        <v>0</v>
      </c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19"/>
      <c r="Q1" s="119"/>
      <c r="R1" s="119"/>
      <c r="S1" s="119"/>
      <c r="T1" s="119"/>
      <c r="U1" s="119"/>
      <c r="V1" s="119"/>
      <c r="W1" s="119"/>
      <c r="X1" s="119"/>
      <c r="Y1" s="119"/>
      <c r="Z1" s="119"/>
      <c r="AA1" s="119"/>
      <c r="AB1" s="119"/>
      <c r="AC1" s="119"/>
      <c r="AD1" s="119"/>
      <c r="AE1" s="119"/>
      <c r="AF1" s="119"/>
      <c r="AG1" s="119"/>
      <c r="AH1" s="119"/>
      <c r="AI1" s="119"/>
      <c r="AJ1" s="119"/>
      <c r="AK1" s="119"/>
      <c r="AL1" s="119"/>
      <c r="AM1" s="119"/>
      <c r="AN1" s="119"/>
      <c r="AO1" s="119"/>
      <c r="AP1" s="119"/>
      <c r="AQ1" s="119"/>
      <c r="AR1" s="119"/>
      <c r="AS1" s="119"/>
      <c r="AT1" s="119"/>
      <c r="AU1" s="119"/>
      <c r="AV1" s="119"/>
      <c r="AW1" s="119"/>
      <c r="AX1" s="119"/>
      <c r="AY1" s="119"/>
      <c r="AZ1" s="119"/>
      <c r="BA1" s="119"/>
    </row>
    <row r="2" spans="2:53" ht="28.15" customHeight="1">
      <c r="B2" s="17"/>
      <c r="C2" s="22"/>
      <c r="D2" s="22"/>
      <c r="E2" s="22"/>
      <c r="F2" s="22"/>
      <c r="G2" s="22"/>
      <c r="H2" s="18"/>
      <c r="I2" s="28"/>
      <c r="J2" s="28"/>
      <c r="K2" s="28"/>
      <c r="L2" s="28"/>
      <c r="M2" s="2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9"/>
    </row>
    <row r="3" spans="2:53" ht="28.15" customHeight="1">
      <c r="B3" s="23"/>
      <c r="C3" s="24"/>
      <c r="D3" s="24"/>
      <c r="E3" s="30" t="s">
        <v>1</v>
      </c>
      <c r="F3" s="24"/>
      <c r="G3" s="24"/>
      <c r="H3" s="28"/>
      <c r="I3" s="28"/>
      <c r="J3" s="28"/>
      <c r="K3" s="28"/>
      <c r="L3" s="28"/>
      <c r="M3" s="28"/>
      <c r="N3" s="28"/>
      <c r="O3" s="28"/>
      <c r="P3" s="33"/>
      <c r="Q3" s="34" t="s">
        <v>2</v>
      </c>
      <c r="R3" s="33"/>
      <c r="S3" s="35"/>
      <c r="T3" s="35"/>
      <c r="U3" s="27" t="s">
        <v>3</v>
      </c>
      <c r="V3" s="31" t="s">
        <v>4</v>
      </c>
      <c r="W3" s="31"/>
      <c r="X3" s="31"/>
      <c r="Y3" s="31"/>
      <c r="Z3" s="31" t="s">
        <v>5</v>
      </c>
      <c r="AA3" s="31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  <c r="AR3" s="28"/>
      <c r="AS3" s="28"/>
      <c r="AT3" s="28"/>
      <c r="AU3" s="28"/>
      <c r="AV3" s="28"/>
      <c r="AW3" s="28"/>
      <c r="AX3" s="28"/>
      <c r="AY3" s="28"/>
      <c r="AZ3" s="28"/>
      <c r="BA3" s="29"/>
    </row>
    <row r="4" spans="2:53" ht="25.9" customHeight="1">
      <c r="B4" s="25"/>
      <c r="C4" s="26"/>
      <c r="D4" s="26"/>
      <c r="E4" s="26"/>
      <c r="F4" s="26"/>
      <c r="G4" s="26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1"/>
    </row>
    <row r="8" spans="2:53" ht="21">
      <c r="B8" s="120" t="s">
        <v>6</v>
      </c>
      <c r="C8" s="121"/>
      <c r="D8" s="121"/>
      <c r="E8" s="121"/>
      <c r="F8" s="121"/>
      <c r="G8" s="122"/>
      <c r="H8" s="107" t="str">
        <f>CHOOSE(WEEKDAY($B$70+COLUMN()-COLUMN($H$9),2),"L","M","M","J","V","S","D")</f>
        <v>S</v>
      </c>
      <c r="I8" s="91" t="str">
        <f t="shared" ref="I8:AL8" si="0">CHOOSE(WEEKDAY($B$70+COLUMN()-COLUMN($H$9),2),"L","M","M","J","V","S","D")</f>
        <v>D</v>
      </c>
      <c r="J8" s="91" t="str">
        <f t="shared" si="0"/>
        <v>L</v>
      </c>
      <c r="K8" s="91" t="str">
        <f t="shared" si="0"/>
        <v>M</v>
      </c>
      <c r="L8" s="91" t="str">
        <f t="shared" si="0"/>
        <v>M</v>
      </c>
      <c r="M8" s="91" t="str">
        <f t="shared" si="0"/>
        <v>J</v>
      </c>
      <c r="N8" s="91" t="str">
        <f t="shared" si="0"/>
        <v>V</v>
      </c>
      <c r="O8" s="91" t="str">
        <f t="shared" si="0"/>
        <v>S</v>
      </c>
      <c r="P8" s="91" t="str">
        <f t="shared" si="0"/>
        <v>D</v>
      </c>
      <c r="Q8" s="91" t="str">
        <f t="shared" si="0"/>
        <v>L</v>
      </c>
      <c r="R8" s="84" t="str">
        <f t="shared" si="0"/>
        <v>M</v>
      </c>
      <c r="S8" s="84" t="str">
        <f t="shared" si="0"/>
        <v>M</v>
      </c>
      <c r="T8" s="84" t="str">
        <f t="shared" si="0"/>
        <v>J</v>
      </c>
      <c r="U8" s="84" t="str">
        <f t="shared" si="0"/>
        <v>V</v>
      </c>
      <c r="V8" s="84" t="str">
        <f t="shared" si="0"/>
        <v>S</v>
      </c>
      <c r="W8" s="84" t="str">
        <f t="shared" si="0"/>
        <v>D</v>
      </c>
      <c r="X8" s="84" t="str">
        <f t="shared" si="0"/>
        <v>L</v>
      </c>
      <c r="Y8" s="84" t="str">
        <f t="shared" si="0"/>
        <v>M</v>
      </c>
      <c r="Z8" s="84" t="str">
        <f t="shared" si="0"/>
        <v>M</v>
      </c>
      <c r="AA8" s="84" t="str">
        <f t="shared" si="0"/>
        <v>J</v>
      </c>
      <c r="AB8" s="84" t="str">
        <f t="shared" si="0"/>
        <v>V</v>
      </c>
      <c r="AC8" s="84" t="str">
        <f t="shared" si="0"/>
        <v>S</v>
      </c>
      <c r="AD8" s="84" t="str">
        <f t="shared" si="0"/>
        <v>D</v>
      </c>
      <c r="AE8" s="84" t="str">
        <f t="shared" si="0"/>
        <v>L</v>
      </c>
      <c r="AF8" s="84" t="str">
        <f t="shared" si="0"/>
        <v>M</v>
      </c>
      <c r="AG8" s="84" t="str">
        <f t="shared" si="0"/>
        <v>M</v>
      </c>
      <c r="AH8" s="84" t="str">
        <f t="shared" si="0"/>
        <v>J</v>
      </c>
      <c r="AI8" s="84" t="str">
        <f t="shared" si="0"/>
        <v>V</v>
      </c>
      <c r="AJ8" s="84" t="str">
        <f t="shared" si="0"/>
        <v>S</v>
      </c>
      <c r="AK8" s="84" t="str">
        <f t="shared" si="0"/>
        <v>D</v>
      </c>
      <c r="AL8" s="84" t="str">
        <f t="shared" si="0"/>
        <v>L</v>
      </c>
      <c r="AM8" s="87" t="s">
        <v>7</v>
      </c>
      <c r="AN8" s="88" t="s">
        <v>8</v>
      </c>
      <c r="AO8" s="88" t="s">
        <v>9</v>
      </c>
      <c r="AP8" s="88" t="s">
        <v>10</v>
      </c>
      <c r="AQ8" s="88" t="s">
        <v>11</v>
      </c>
      <c r="AR8" s="88" t="s">
        <v>12</v>
      </c>
      <c r="AS8" s="88" t="s">
        <v>13</v>
      </c>
      <c r="AT8" s="88" t="s">
        <v>14</v>
      </c>
      <c r="AU8" s="88" t="s">
        <v>15</v>
      </c>
      <c r="AV8" s="88" t="s">
        <v>16</v>
      </c>
      <c r="AW8" s="88" t="s">
        <v>17</v>
      </c>
      <c r="AX8" s="88" t="s">
        <v>18</v>
      </c>
      <c r="AY8" s="88" t="s">
        <v>19</v>
      </c>
      <c r="AZ8" s="88" t="s">
        <v>20</v>
      </c>
      <c r="BA8" s="88" t="s">
        <v>21</v>
      </c>
    </row>
    <row r="9" spans="2:53" s="32" customFormat="1" ht="21">
      <c r="B9" s="95" t="s">
        <v>22</v>
      </c>
      <c r="C9" s="95" t="s">
        <v>23</v>
      </c>
      <c r="D9" s="95" t="s">
        <v>24</v>
      </c>
      <c r="E9" s="95" t="s">
        <v>25</v>
      </c>
      <c r="F9" s="95" t="s">
        <v>26</v>
      </c>
      <c r="G9" s="110" t="s">
        <v>27</v>
      </c>
      <c r="H9" s="108" t="s">
        <v>28</v>
      </c>
      <c r="I9" s="93" t="s">
        <v>29</v>
      </c>
      <c r="J9" s="93" t="s">
        <v>30</v>
      </c>
      <c r="K9" s="93" t="s">
        <v>31</v>
      </c>
      <c r="L9" s="93" t="s">
        <v>32</v>
      </c>
      <c r="M9" s="93" t="s">
        <v>33</v>
      </c>
      <c r="N9" s="93" t="s">
        <v>34</v>
      </c>
      <c r="O9" s="93" t="s">
        <v>35</v>
      </c>
      <c r="P9" s="93" t="s">
        <v>36</v>
      </c>
      <c r="Q9" s="93" t="s">
        <v>37</v>
      </c>
      <c r="R9" s="94" t="s">
        <v>38</v>
      </c>
      <c r="S9" s="94" t="s">
        <v>39</v>
      </c>
      <c r="T9" s="94" t="s">
        <v>40</v>
      </c>
      <c r="U9" s="94" t="s">
        <v>41</v>
      </c>
      <c r="V9" s="94" t="s">
        <v>42</v>
      </c>
      <c r="W9" s="94" t="s">
        <v>43</v>
      </c>
      <c r="X9" s="94" t="s">
        <v>44</v>
      </c>
      <c r="Y9" s="94" t="s">
        <v>45</v>
      </c>
      <c r="Z9" s="94" t="s">
        <v>46</v>
      </c>
      <c r="AA9" s="94" t="s">
        <v>47</v>
      </c>
      <c r="AB9" s="94" t="s">
        <v>48</v>
      </c>
      <c r="AC9" s="94" t="s">
        <v>49</v>
      </c>
      <c r="AD9" s="94" t="s">
        <v>50</v>
      </c>
      <c r="AE9" s="94" t="s">
        <v>51</v>
      </c>
      <c r="AF9" s="94" t="s">
        <v>52</v>
      </c>
      <c r="AG9" s="94" t="s">
        <v>53</v>
      </c>
      <c r="AH9" s="94" t="s">
        <v>54</v>
      </c>
      <c r="AI9" s="94" t="s">
        <v>55</v>
      </c>
      <c r="AJ9" s="94" t="s">
        <v>56</v>
      </c>
      <c r="AK9" s="94" t="s">
        <v>57</v>
      </c>
      <c r="AL9" s="94" t="s">
        <v>58</v>
      </c>
      <c r="AM9" s="89" t="s">
        <v>59</v>
      </c>
      <c r="AN9" s="89" t="s">
        <v>60</v>
      </c>
      <c r="AO9" s="89" t="s">
        <v>61</v>
      </c>
      <c r="AP9" s="89" t="s">
        <v>62</v>
      </c>
      <c r="AQ9" s="89" t="s">
        <v>63</v>
      </c>
      <c r="AR9" s="89" t="s">
        <v>64</v>
      </c>
      <c r="AS9" s="89" t="s">
        <v>65</v>
      </c>
      <c r="AT9" s="89" t="s">
        <v>66</v>
      </c>
      <c r="AU9" s="89" t="s">
        <v>67</v>
      </c>
      <c r="AV9" s="89" t="s">
        <v>68</v>
      </c>
      <c r="AW9" s="89" t="s">
        <v>69</v>
      </c>
      <c r="AX9" s="89" t="s">
        <v>70</v>
      </c>
      <c r="AY9" s="90" t="s">
        <v>71</v>
      </c>
      <c r="AZ9" s="90" t="s">
        <v>72</v>
      </c>
      <c r="BA9" s="90" t="s">
        <v>73</v>
      </c>
    </row>
    <row r="10" spans="2:53" ht="18">
      <c r="B10" s="40"/>
      <c r="C10" s="40"/>
      <c r="D10" s="96"/>
      <c r="E10" s="40"/>
      <c r="F10" s="96"/>
      <c r="G10" s="96"/>
      <c r="H10" s="109"/>
      <c r="I10" s="109"/>
      <c r="J10" s="109"/>
      <c r="K10" s="109"/>
      <c r="L10" s="109"/>
      <c r="M10" s="109"/>
      <c r="N10" s="109"/>
      <c r="O10" s="109"/>
      <c r="P10" s="109"/>
      <c r="Q10" s="109"/>
      <c r="R10" s="92"/>
      <c r="S10" s="92"/>
      <c r="T10" s="92"/>
      <c r="U10" s="92"/>
      <c r="V10" s="92"/>
      <c r="W10" s="92"/>
      <c r="X10" s="92"/>
      <c r="Y10" s="92"/>
      <c r="Z10" s="92"/>
      <c r="AA10" s="92"/>
      <c r="AB10" s="92"/>
      <c r="AC10" s="92"/>
      <c r="AD10" s="92"/>
      <c r="AE10" s="92"/>
      <c r="AF10" s="92"/>
      <c r="AG10" s="92"/>
      <c r="AH10" s="92"/>
      <c r="AI10" s="92"/>
      <c r="AJ10" s="92"/>
      <c r="AK10" s="92"/>
      <c r="AL10" s="92"/>
      <c r="AM10" s="2">
        <f>COUNTIF(H10:AL10,"A")</f>
        <v>0</v>
      </c>
      <c r="AN10" s="3">
        <f>COUNTIF(H10:AL10,"F")</f>
        <v>0</v>
      </c>
      <c r="AO10" s="4">
        <f>COUNTIF(H10:AL10,"D")</f>
        <v>0</v>
      </c>
      <c r="AP10" s="5">
        <f>COUNTIF(H10:AL10,"V")</f>
        <v>0</v>
      </c>
      <c r="AQ10" s="6">
        <f>COUNTIF(H10:AL10,"DM")</f>
        <v>0</v>
      </c>
      <c r="AR10" s="7">
        <f>COUNTIF(H10:AL10,"AM")</f>
        <v>0</v>
      </c>
      <c r="AS10" s="8">
        <f>COUNTIF(H10:AL10,"LCG")</f>
        <v>0</v>
      </c>
      <c r="AT10" s="9">
        <f>COUNTIF(H10:AL10,"LSG")</f>
        <v>0</v>
      </c>
      <c r="AU10" s="3">
        <f>COUNTIF(H10:AL10,"LPP")</f>
        <v>0</v>
      </c>
      <c r="AV10" s="10">
        <f>COUNTIF(H10:AL10,"S")</f>
        <v>0</v>
      </c>
      <c r="AW10" s="11">
        <f>COUNTIF(H10:AL10,"SP")</f>
        <v>0</v>
      </c>
      <c r="AX10" s="12">
        <f>COUNTIF(H10:AL10,"CE")</f>
        <v>0</v>
      </c>
      <c r="AY10" s="13">
        <f>COUNTIF(H10:AL10,"FT")</f>
        <v>0</v>
      </c>
      <c r="AZ10" s="104">
        <f>COUNTIF(H10:AL10,"FD")</f>
        <v>0</v>
      </c>
      <c r="BA10" s="103">
        <f>COUNTIF(H10:AL10,"VA")</f>
        <v>0</v>
      </c>
    </row>
    <row r="11" spans="2:53" ht="18">
      <c r="B11" s="97"/>
      <c r="C11" s="41"/>
      <c r="D11" s="96"/>
      <c r="E11" s="40"/>
      <c r="F11" s="98"/>
      <c r="G11" s="96"/>
      <c r="H11" s="109"/>
      <c r="I11" s="109"/>
      <c r="J11" s="109"/>
      <c r="K11" s="109"/>
      <c r="L11" s="109"/>
      <c r="M11" s="109"/>
      <c r="N11" s="109"/>
      <c r="O11" s="109"/>
      <c r="P11" s="109"/>
      <c r="Q11" s="109"/>
      <c r="R11" s="92"/>
      <c r="S11" s="92"/>
      <c r="T11" s="92"/>
      <c r="U11" s="92"/>
      <c r="V11" s="92"/>
      <c r="W11" s="92"/>
      <c r="X11" s="92"/>
      <c r="Y11" s="92"/>
      <c r="Z11" s="92"/>
      <c r="AA11" s="92"/>
      <c r="AB11" s="92"/>
      <c r="AC11" s="92"/>
      <c r="AD11" s="92"/>
      <c r="AE11" s="92"/>
      <c r="AF11" s="92"/>
      <c r="AG11" s="92"/>
      <c r="AH11" s="92"/>
      <c r="AI11" s="92"/>
      <c r="AJ11" s="92"/>
      <c r="AK11" s="92"/>
      <c r="AL11" s="92"/>
      <c r="AM11" s="2">
        <f t="shared" ref="AM10:AM29" si="1">COUNTIF(H11:AL11,"A")</f>
        <v>0</v>
      </c>
      <c r="AN11" s="3">
        <f t="shared" ref="AN11:AN29" si="2">COUNTIF(H11:AL11,"F")</f>
        <v>0</v>
      </c>
      <c r="AO11" s="4">
        <f t="shared" ref="AO11:AO29" si="3">COUNTIF(H11:AL11,"D")</f>
        <v>0</v>
      </c>
      <c r="AP11" s="5">
        <f t="shared" ref="AP11:AP29" si="4">COUNTIF(H11:AL11,"V")</f>
        <v>0</v>
      </c>
      <c r="AQ11" s="6">
        <f t="shared" ref="AQ11:AQ29" si="5">COUNTIF(H11:AL11,"DM")</f>
        <v>0</v>
      </c>
      <c r="AR11" s="7">
        <f t="shared" ref="AR11:AR29" si="6">COUNTIF(H11:AL11,"AM")</f>
        <v>0</v>
      </c>
      <c r="AS11" s="8">
        <f t="shared" ref="AS11:AS29" si="7">COUNTIF(H11:AL11,"LCG")</f>
        <v>0</v>
      </c>
      <c r="AT11" s="9">
        <f t="shared" ref="AT11:AT29" si="8">COUNTIF(H11:AL11,"LSG")</f>
        <v>0</v>
      </c>
      <c r="AU11" s="3">
        <f t="shared" ref="AU11:AU29" si="9">COUNTIF(H11:AL11,"LPP")</f>
        <v>0</v>
      </c>
      <c r="AV11" s="10">
        <f t="shared" ref="AV11:AV29" si="10">COUNTIF(H11:AL11,"S")</f>
        <v>0</v>
      </c>
      <c r="AW11" s="11">
        <f t="shared" ref="AW11:AW29" si="11">COUNTIF(H11:AL11,"SP")</f>
        <v>0</v>
      </c>
      <c r="AX11" s="12">
        <f t="shared" ref="AX11:AX29" si="12">COUNTIF(H11:AL11,"CE")</f>
        <v>0</v>
      </c>
      <c r="AY11" s="13">
        <f t="shared" ref="AY10:AY29" si="13">COUNTIF(H11:AL11,"FT")</f>
        <v>0</v>
      </c>
      <c r="AZ11" s="104">
        <f>COUNTIF(H11:AL11,"FD")</f>
        <v>0</v>
      </c>
      <c r="BA11" s="103">
        <f>COUNTIF(H11:AL11,"VA")</f>
        <v>0</v>
      </c>
    </row>
    <row r="12" spans="2:53" ht="18">
      <c r="B12" s="15"/>
      <c r="C12" s="15"/>
      <c r="D12" s="96"/>
      <c r="E12" s="40"/>
      <c r="F12" s="98"/>
      <c r="G12" s="96"/>
      <c r="H12" s="109"/>
      <c r="I12" s="109"/>
      <c r="J12" s="109"/>
      <c r="K12" s="109"/>
      <c r="L12" s="109"/>
      <c r="M12" s="109"/>
      <c r="N12" s="109"/>
      <c r="O12" s="109"/>
      <c r="P12" s="109"/>
      <c r="Q12" s="109"/>
      <c r="R12" s="92"/>
      <c r="S12" s="92"/>
      <c r="T12" s="92"/>
      <c r="U12" s="92"/>
      <c r="V12" s="92"/>
      <c r="W12" s="92"/>
      <c r="X12" s="92"/>
      <c r="Y12" s="92"/>
      <c r="Z12" s="92"/>
      <c r="AA12" s="92"/>
      <c r="AB12" s="92"/>
      <c r="AC12" s="92"/>
      <c r="AD12" s="92"/>
      <c r="AE12" s="92"/>
      <c r="AF12" s="92"/>
      <c r="AG12" s="92"/>
      <c r="AH12" s="92"/>
      <c r="AI12" s="92"/>
      <c r="AJ12" s="92"/>
      <c r="AK12" s="92"/>
      <c r="AL12" s="92"/>
      <c r="AM12" s="2">
        <f t="shared" si="1"/>
        <v>0</v>
      </c>
      <c r="AN12" s="3">
        <f t="shared" si="2"/>
        <v>0</v>
      </c>
      <c r="AO12" s="4">
        <f t="shared" si="3"/>
        <v>0</v>
      </c>
      <c r="AP12" s="5">
        <f t="shared" si="4"/>
        <v>0</v>
      </c>
      <c r="AQ12" s="6">
        <f t="shared" si="5"/>
        <v>0</v>
      </c>
      <c r="AR12" s="7">
        <f t="shared" si="6"/>
        <v>0</v>
      </c>
      <c r="AS12" s="8">
        <f t="shared" si="7"/>
        <v>0</v>
      </c>
      <c r="AT12" s="9">
        <f t="shared" si="8"/>
        <v>0</v>
      </c>
      <c r="AU12" s="3">
        <f t="shared" si="9"/>
        <v>0</v>
      </c>
      <c r="AV12" s="10">
        <f t="shared" si="10"/>
        <v>0</v>
      </c>
      <c r="AW12" s="11">
        <f t="shared" si="11"/>
        <v>0</v>
      </c>
      <c r="AX12" s="12">
        <f t="shared" si="12"/>
        <v>0</v>
      </c>
      <c r="AY12" s="13">
        <f t="shared" si="13"/>
        <v>0</v>
      </c>
      <c r="AZ12" s="104">
        <f t="shared" ref="AZ12:AZ29" si="14">COUNTIF(H12:AL12,"FD")</f>
        <v>0</v>
      </c>
      <c r="BA12" s="103">
        <f>COUNTIF(H12:AL12,"VA")</f>
        <v>0</v>
      </c>
    </row>
    <row r="13" spans="2:53" ht="18">
      <c r="B13" s="99"/>
      <c r="C13" s="42"/>
      <c r="D13" s="96"/>
      <c r="E13" s="40"/>
      <c r="F13" s="98"/>
      <c r="G13" s="96"/>
      <c r="H13" s="109"/>
      <c r="I13" s="109"/>
      <c r="J13" s="109"/>
      <c r="K13" s="109"/>
      <c r="L13" s="109"/>
      <c r="M13" s="109"/>
      <c r="N13" s="109"/>
      <c r="O13" s="109"/>
      <c r="P13" s="109"/>
      <c r="Q13" s="109"/>
      <c r="R13" s="92"/>
      <c r="S13" s="92"/>
      <c r="T13" s="92"/>
      <c r="U13" s="92"/>
      <c r="V13" s="92"/>
      <c r="W13" s="92"/>
      <c r="X13" s="92"/>
      <c r="Y13" s="92"/>
      <c r="Z13" s="92"/>
      <c r="AA13" s="92"/>
      <c r="AB13" s="92"/>
      <c r="AC13" s="92"/>
      <c r="AD13" s="92"/>
      <c r="AE13" s="92"/>
      <c r="AF13" s="92"/>
      <c r="AG13" s="92"/>
      <c r="AH13" s="92"/>
      <c r="AI13" s="92"/>
      <c r="AJ13" s="92"/>
      <c r="AK13" s="92"/>
      <c r="AL13" s="92"/>
      <c r="AM13" s="2">
        <f t="shared" si="1"/>
        <v>0</v>
      </c>
      <c r="AN13" s="3">
        <f t="shared" si="2"/>
        <v>0</v>
      </c>
      <c r="AO13" s="4">
        <f t="shared" si="3"/>
        <v>0</v>
      </c>
      <c r="AP13" s="5">
        <f t="shared" si="4"/>
        <v>0</v>
      </c>
      <c r="AQ13" s="6">
        <f t="shared" si="5"/>
        <v>0</v>
      </c>
      <c r="AR13" s="7">
        <f t="shared" si="6"/>
        <v>0</v>
      </c>
      <c r="AS13" s="8">
        <f t="shared" si="7"/>
        <v>0</v>
      </c>
      <c r="AT13" s="9">
        <f t="shared" si="8"/>
        <v>0</v>
      </c>
      <c r="AU13" s="3">
        <f t="shared" si="9"/>
        <v>0</v>
      </c>
      <c r="AV13" s="10">
        <f t="shared" si="10"/>
        <v>0</v>
      </c>
      <c r="AW13" s="11">
        <f t="shared" si="11"/>
        <v>0</v>
      </c>
      <c r="AX13" s="12">
        <f t="shared" si="12"/>
        <v>0</v>
      </c>
      <c r="AY13" s="13">
        <f t="shared" si="13"/>
        <v>0</v>
      </c>
      <c r="AZ13" s="104">
        <f t="shared" si="14"/>
        <v>0</v>
      </c>
      <c r="BA13" s="103">
        <f>COUNTIF(H13:AL13,"VA")</f>
        <v>0</v>
      </c>
    </row>
    <row r="14" spans="2:53" ht="18">
      <c r="B14" s="100"/>
      <c r="C14" s="43"/>
      <c r="D14" s="96"/>
      <c r="E14" s="40"/>
      <c r="F14" s="98"/>
      <c r="G14" s="96"/>
      <c r="H14" s="109"/>
      <c r="I14" s="109"/>
      <c r="J14" s="109"/>
      <c r="K14" s="109"/>
      <c r="L14" s="109"/>
      <c r="M14" s="109"/>
      <c r="N14" s="109"/>
      <c r="O14" s="109"/>
      <c r="P14" s="109"/>
      <c r="Q14" s="109"/>
      <c r="R14" s="92"/>
      <c r="S14" s="92"/>
      <c r="T14" s="92"/>
      <c r="U14" s="92"/>
      <c r="V14" s="92"/>
      <c r="W14" s="92"/>
      <c r="X14" s="92"/>
      <c r="Y14" s="92"/>
      <c r="Z14" s="92"/>
      <c r="AA14" s="92"/>
      <c r="AB14" s="92"/>
      <c r="AC14" s="92"/>
      <c r="AD14" s="92"/>
      <c r="AE14" s="92"/>
      <c r="AF14" s="92"/>
      <c r="AG14" s="92"/>
      <c r="AH14" s="92"/>
      <c r="AI14" s="92"/>
      <c r="AJ14" s="92"/>
      <c r="AK14" s="92"/>
      <c r="AL14" s="92"/>
      <c r="AM14" s="2">
        <f t="shared" si="1"/>
        <v>0</v>
      </c>
      <c r="AN14" s="3">
        <f t="shared" si="2"/>
        <v>0</v>
      </c>
      <c r="AO14" s="4">
        <f t="shared" si="3"/>
        <v>0</v>
      </c>
      <c r="AP14" s="5">
        <f t="shared" si="4"/>
        <v>0</v>
      </c>
      <c r="AQ14" s="6">
        <f t="shared" si="5"/>
        <v>0</v>
      </c>
      <c r="AR14" s="7">
        <f t="shared" si="6"/>
        <v>0</v>
      </c>
      <c r="AS14" s="8">
        <f t="shared" si="7"/>
        <v>0</v>
      </c>
      <c r="AT14" s="9">
        <f t="shared" si="8"/>
        <v>0</v>
      </c>
      <c r="AU14" s="3">
        <f t="shared" si="9"/>
        <v>0</v>
      </c>
      <c r="AV14" s="10">
        <f t="shared" si="10"/>
        <v>0</v>
      </c>
      <c r="AW14" s="11">
        <f t="shared" si="11"/>
        <v>0</v>
      </c>
      <c r="AX14" s="12">
        <f t="shared" si="12"/>
        <v>0</v>
      </c>
      <c r="AY14" s="13">
        <f t="shared" si="13"/>
        <v>0</v>
      </c>
      <c r="AZ14" s="104">
        <f t="shared" si="14"/>
        <v>0</v>
      </c>
      <c r="BA14" s="103">
        <f>COUNTIF(H14:AL14,"VA")</f>
        <v>0</v>
      </c>
    </row>
    <row r="15" spans="2:53" ht="18">
      <c r="B15" s="44"/>
      <c r="C15" s="44"/>
      <c r="D15" s="96"/>
      <c r="E15" s="40"/>
      <c r="F15" s="98"/>
      <c r="G15" s="96"/>
      <c r="H15" s="109"/>
      <c r="I15" s="109"/>
      <c r="J15" s="109"/>
      <c r="K15" s="109"/>
      <c r="L15" s="109"/>
      <c r="M15" s="109"/>
      <c r="N15" s="109"/>
      <c r="O15" s="109"/>
      <c r="P15" s="109"/>
      <c r="Q15" s="109"/>
      <c r="R15" s="92"/>
      <c r="S15" s="92"/>
      <c r="T15" s="92"/>
      <c r="U15" s="92"/>
      <c r="V15" s="92"/>
      <c r="W15" s="92"/>
      <c r="X15" s="92"/>
      <c r="Y15" s="92"/>
      <c r="Z15" s="92"/>
      <c r="AA15" s="92"/>
      <c r="AB15" s="92"/>
      <c r="AC15" s="92"/>
      <c r="AD15" s="92"/>
      <c r="AE15" s="92"/>
      <c r="AF15" s="92"/>
      <c r="AG15" s="92"/>
      <c r="AH15" s="92"/>
      <c r="AI15" s="92"/>
      <c r="AJ15" s="92"/>
      <c r="AK15" s="92"/>
      <c r="AL15" s="92"/>
      <c r="AM15" s="2">
        <f t="shared" si="1"/>
        <v>0</v>
      </c>
      <c r="AN15" s="3">
        <f t="shared" si="2"/>
        <v>0</v>
      </c>
      <c r="AO15" s="4">
        <f t="shared" si="3"/>
        <v>0</v>
      </c>
      <c r="AP15" s="5">
        <f t="shared" si="4"/>
        <v>0</v>
      </c>
      <c r="AQ15" s="6">
        <f t="shared" si="5"/>
        <v>0</v>
      </c>
      <c r="AR15" s="7">
        <f t="shared" si="6"/>
        <v>0</v>
      </c>
      <c r="AS15" s="8">
        <f t="shared" si="7"/>
        <v>0</v>
      </c>
      <c r="AT15" s="9">
        <f t="shared" si="8"/>
        <v>0</v>
      </c>
      <c r="AU15" s="3">
        <f t="shared" si="9"/>
        <v>0</v>
      </c>
      <c r="AV15" s="10">
        <f t="shared" si="10"/>
        <v>0</v>
      </c>
      <c r="AW15" s="11">
        <f t="shared" si="11"/>
        <v>0</v>
      </c>
      <c r="AX15" s="12">
        <f t="shared" si="12"/>
        <v>0</v>
      </c>
      <c r="AY15" s="13">
        <f t="shared" si="13"/>
        <v>0</v>
      </c>
      <c r="AZ15" s="104">
        <f t="shared" si="14"/>
        <v>0</v>
      </c>
      <c r="BA15" s="103">
        <f>COUNTIF(H15:AL15,"VA")</f>
        <v>0</v>
      </c>
    </row>
    <row r="16" spans="2:53" ht="18">
      <c r="B16" s="100"/>
      <c r="C16" s="45"/>
      <c r="D16" s="96"/>
      <c r="E16" s="40"/>
      <c r="F16" s="98"/>
      <c r="G16" s="96"/>
      <c r="H16" s="109"/>
      <c r="I16" s="109"/>
      <c r="J16" s="109"/>
      <c r="K16" s="109"/>
      <c r="L16" s="109"/>
      <c r="M16" s="109"/>
      <c r="N16" s="109"/>
      <c r="O16" s="109"/>
      <c r="P16" s="109"/>
      <c r="Q16" s="109"/>
      <c r="R16" s="92"/>
      <c r="S16" s="92"/>
      <c r="T16" s="92"/>
      <c r="U16" s="92"/>
      <c r="V16" s="92"/>
      <c r="W16" s="92"/>
      <c r="X16" s="92"/>
      <c r="Y16" s="92"/>
      <c r="Z16" s="92"/>
      <c r="AA16" s="92"/>
      <c r="AB16" s="92"/>
      <c r="AC16" s="92"/>
      <c r="AD16" s="92"/>
      <c r="AE16" s="92"/>
      <c r="AF16" s="92"/>
      <c r="AG16" s="92"/>
      <c r="AH16" s="92"/>
      <c r="AI16" s="92"/>
      <c r="AJ16" s="92"/>
      <c r="AK16" s="92"/>
      <c r="AL16" s="92"/>
      <c r="AM16" s="2">
        <f t="shared" si="1"/>
        <v>0</v>
      </c>
      <c r="AN16" s="3">
        <f t="shared" si="2"/>
        <v>0</v>
      </c>
      <c r="AO16" s="4">
        <f t="shared" si="3"/>
        <v>0</v>
      </c>
      <c r="AP16" s="5">
        <f t="shared" si="4"/>
        <v>0</v>
      </c>
      <c r="AQ16" s="6">
        <f t="shared" si="5"/>
        <v>0</v>
      </c>
      <c r="AR16" s="7">
        <f t="shared" si="6"/>
        <v>0</v>
      </c>
      <c r="AS16" s="8">
        <f t="shared" si="7"/>
        <v>0</v>
      </c>
      <c r="AT16" s="9">
        <f t="shared" si="8"/>
        <v>0</v>
      </c>
      <c r="AU16" s="3">
        <f t="shared" si="9"/>
        <v>0</v>
      </c>
      <c r="AV16" s="10">
        <f t="shared" si="10"/>
        <v>0</v>
      </c>
      <c r="AW16" s="11">
        <f t="shared" si="11"/>
        <v>0</v>
      </c>
      <c r="AX16" s="12">
        <f t="shared" si="12"/>
        <v>0</v>
      </c>
      <c r="AY16" s="13">
        <f t="shared" si="13"/>
        <v>0</v>
      </c>
      <c r="AZ16" s="104">
        <f t="shared" si="14"/>
        <v>0</v>
      </c>
      <c r="BA16" s="103">
        <f>COUNTIF(H16:AL16,"VA")</f>
        <v>0</v>
      </c>
    </row>
    <row r="17" spans="2:53" ht="18">
      <c r="B17" s="99"/>
      <c r="C17" s="41"/>
      <c r="D17" s="96"/>
      <c r="E17" s="40"/>
      <c r="F17" s="98"/>
      <c r="G17" s="96"/>
      <c r="H17" s="109"/>
      <c r="I17" s="109"/>
      <c r="J17" s="109"/>
      <c r="K17" s="109"/>
      <c r="L17" s="109"/>
      <c r="M17" s="109"/>
      <c r="N17" s="109"/>
      <c r="O17" s="109"/>
      <c r="P17" s="109"/>
      <c r="Q17" s="109"/>
      <c r="R17" s="92"/>
      <c r="S17" s="92"/>
      <c r="T17" s="92"/>
      <c r="U17" s="92"/>
      <c r="V17" s="92"/>
      <c r="W17" s="92"/>
      <c r="X17" s="92"/>
      <c r="Y17" s="92"/>
      <c r="Z17" s="92"/>
      <c r="AA17" s="92"/>
      <c r="AB17" s="92"/>
      <c r="AC17" s="92"/>
      <c r="AD17" s="92"/>
      <c r="AE17" s="92"/>
      <c r="AF17" s="92"/>
      <c r="AG17" s="92"/>
      <c r="AH17" s="92"/>
      <c r="AI17" s="92"/>
      <c r="AJ17" s="92"/>
      <c r="AK17" s="92"/>
      <c r="AL17" s="92"/>
      <c r="AM17" s="2">
        <f t="shared" si="1"/>
        <v>0</v>
      </c>
      <c r="AN17" s="3">
        <f t="shared" si="2"/>
        <v>0</v>
      </c>
      <c r="AO17" s="4">
        <f t="shared" si="3"/>
        <v>0</v>
      </c>
      <c r="AP17" s="5">
        <f t="shared" si="4"/>
        <v>0</v>
      </c>
      <c r="AQ17" s="6">
        <f t="shared" si="5"/>
        <v>0</v>
      </c>
      <c r="AR17" s="7">
        <f t="shared" si="6"/>
        <v>0</v>
      </c>
      <c r="AS17" s="8">
        <f t="shared" si="7"/>
        <v>0</v>
      </c>
      <c r="AT17" s="9">
        <f t="shared" si="8"/>
        <v>0</v>
      </c>
      <c r="AU17" s="3">
        <f t="shared" si="9"/>
        <v>0</v>
      </c>
      <c r="AV17" s="10">
        <f t="shared" si="10"/>
        <v>0</v>
      </c>
      <c r="AW17" s="11">
        <f t="shared" si="11"/>
        <v>0</v>
      </c>
      <c r="AX17" s="12">
        <f t="shared" si="12"/>
        <v>0</v>
      </c>
      <c r="AY17" s="13">
        <f t="shared" si="13"/>
        <v>0</v>
      </c>
      <c r="AZ17" s="104">
        <f t="shared" si="14"/>
        <v>0</v>
      </c>
      <c r="BA17" s="103">
        <f>COUNTIF(H17:AL17,"VA")</f>
        <v>0</v>
      </c>
    </row>
    <row r="18" spans="2:53" ht="18">
      <c r="B18" s="97"/>
      <c r="C18" s="41"/>
      <c r="D18" s="96"/>
      <c r="E18" s="40"/>
      <c r="F18" s="98"/>
      <c r="G18" s="96"/>
      <c r="H18" s="109"/>
      <c r="I18" s="109"/>
      <c r="J18" s="109"/>
      <c r="K18" s="109"/>
      <c r="L18" s="109"/>
      <c r="M18" s="109"/>
      <c r="N18" s="109"/>
      <c r="O18" s="109"/>
      <c r="P18" s="109"/>
      <c r="Q18" s="109"/>
      <c r="R18" s="92"/>
      <c r="S18" s="92"/>
      <c r="T18" s="92"/>
      <c r="U18" s="92"/>
      <c r="V18" s="92"/>
      <c r="W18" s="92"/>
      <c r="X18" s="92"/>
      <c r="Y18" s="92"/>
      <c r="Z18" s="92"/>
      <c r="AA18" s="92"/>
      <c r="AB18" s="92"/>
      <c r="AC18" s="92"/>
      <c r="AD18" s="92"/>
      <c r="AE18" s="92"/>
      <c r="AF18" s="92"/>
      <c r="AG18" s="92"/>
      <c r="AH18" s="92"/>
      <c r="AI18" s="92"/>
      <c r="AJ18" s="92"/>
      <c r="AK18" s="92"/>
      <c r="AL18" s="92"/>
      <c r="AM18" s="2">
        <f t="shared" si="1"/>
        <v>0</v>
      </c>
      <c r="AN18" s="3">
        <f t="shared" si="2"/>
        <v>0</v>
      </c>
      <c r="AO18" s="4">
        <f t="shared" si="3"/>
        <v>0</v>
      </c>
      <c r="AP18" s="5">
        <f t="shared" si="4"/>
        <v>0</v>
      </c>
      <c r="AQ18" s="6">
        <f t="shared" si="5"/>
        <v>0</v>
      </c>
      <c r="AR18" s="7">
        <f t="shared" si="6"/>
        <v>0</v>
      </c>
      <c r="AS18" s="8">
        <f t="shared" si="7"/>
        <v>0</v>
      </c>
      <c r="AT18" s="9">
        <f t="shared" si="8"/>
        <v>0</v>
      </c>
      <c r="AU18" s="3">
        <f t="shared" si="9"/>
        <v>0</v>
      </c>
      <c r="AV18" s="10">
        <f t="shared" si="10"/>
        <v>0</v>
      </c>
      <c r="AW18" s="11">
        <f t="shared" si="11"/>
        <v>0</v>
      </c>
      <c r="AX18" s="12">
        <f t="shared" si="12"/>
        <v>0</v>
      </c>
      <c r="AY18" s="13">
        <f t="shared" si="13"/>
        <v>0</v>
      </c>
      <c r="AZ18" s="104">
        <f t="shared" si="14"/>
        <v>0</v>
      </c>
      <c r="BA18" s="103">
        <f>COUNTIF(H18:AL18,"VA")</f>
        <v>0</v>
      </c>
    </row>
    <row r="19" spans="2:53" ht="18">
      <c r="B19" s="97"/>
      <c r="C19" s="41"/>
      <c r="D19" s="96"/>
      <c r="E19" s="40"/>
      <c r="F19" s="98"/>
      <c r="G19" s="96"/>
      <c r="H19" s="109"/>
      <c r="I19" s="109"/>
      <c r="J19" s="109"/>
      <c r="K19" s="109"/>
      <c r="L19" s="109"/>
      <c r="M19" s="109"/>
      <c r="N19" s="109"/>
      <c r="O19" s="109"/>
      <c r="P19" s="109"/>
      <c r="Q19" s="109"/>
      <c r="R19" s="92"/>
      <c r="S19" s="92"/>
      <c r="T19" s="92"/>
      <c r="U19" s="92"/>
      <c r="V19" s="92"/>
      <c r="W19" s="92"/>
      <c r="X19" s="92"/>
      <c r="Y19" s="92"/>
      <c r="Z19" s="92"/>
      <c r="AA19" s="92"/>
      <c r="AB19" s="92"/>
      <c r="AC19" s="92"/>
      <c r="AD19" s="92"/>
      <c r="AE19" s="92"/>
      <c r="AF19" s="92"/>
      <c r="AG19" s="92"/>
      <c r="AH19" s="92"/>
      <c r="AI19" s="92"/>
      <c r="AJ19" s="92"/>
      <c r="AK19" s="92"/>
      <c r="AL19" s="92"/>
      <c r="AM19" s="2">
        <f t="shared" si="1"/>
        <v>0</v>
      </c>
      <c r="AN19" s="3">
        <f t="shared" si="2"/>
        <v>0</v>
      </c>
      <c r="AO19" s="4">
        <f t="shared" si="3"/>
        <v>0</v>
      </c>
      <c r="AP19" s="5">
        <f t="shared" si="4"/>
        <v>0</v>
      </c>
      <c r="AQ19" s="6">
        <f t="shared" si="5"/>
        <v>0</v>
      </c>
      <c r="AR19" s="7">
        <f t="shared" si="6"/>
        <v>0</v>
      </c>
      <c r="AS19" s="8">
        <f t="shared" si="7"/>
        <v>0</v>
      </c>
      <c r="AT19" s="9">
        <f t="shared" si="8"/>
        <v>0</v>
      </c>
      <c r="AU19" s="3">
        <f t="shared" si="9"/>
        <v>0</v>
      </c>
      <c r="AV19" s="10">
        <f t="shared" si="10"/>
        <v>0</v>
      </c>
      <c r="AW19" s="11">
        <f t="shared" si="11"/>
        <v>0</v>
      </c>
      <c r="AX19" s="12">
        <f t="shared" si="12"/>
        <v>0</v>
      </c>
      <c r="AY19" s="13">
        <f t="shared" si="13"/>
        <v>0</v>
      </c>
      <c r="AZ19" s="104">
        <f t="shared" si="14"/>
        <v>0</v>
      </c>
      <c r="BA19" s="103">
        <f>COUNTIF(H19:AL19,"VA")</f>
        <v>0</v>
      </c>
    </row>
    <row r="20" spans="2:53" ht="18">
      <c r="B20" s="15"/>
      <c r="C20" s="15"/>
      <c r="D20" s="96"/>
      <c r="E20" s="40"/>
      <c r="F20" s="15"/>
      <c r="G20" s="96"/>
      <c r="H20" s="109"/>
      <c r="I20" s="109"/>
      <c r="J20" s="109"/>
      <c r="K20" s="109"/>
      <c r="L20" s="109"/>
      <c r="M20" s="109"/>
      <c r="N20" s="109"/>
      <c r="O20" s="109"/>
      <c r="P20" s="109"/>
      <c r="Q20" s="109"/>
      <c r="R20" s="92"/>
      <c r="S20" s="92"/>
      <c r="T20" s="92"/>
      <c r="U20" s="92"/>
      <c r="V20" s="92"/>
      <c r="W20" s="92"/>
      <c r="X20" s="92"/>
      <c r="Y20" s="92"/>
      <c r="Z20" s="92"/>
      <c r="AA20" s="92"/>
      <c r="AB20" s="92"/>
      <c r="AC20" s="92"/>
      <c r="AD20" s="92"/>
      <c r="AE20" s="92"/>
      <c r="AF20" s="92"/>
      <c r="AG20" s="92"/>
      <c r="AH20" s="92"/>
      <c r="AI20" s="92"/>
      <c r="AJ20" s="92"/>
      <c r="AK20" s="92"/>
      <c r="AL20" s="92"/>
      <c r="AM20" s="2">
        <f t="shared" si="1"/>
        <v>0</v>
      </c>
      <c r="AN20" s="3">
        <f t="shared" si="2"/>
        <v>0</v>
      </c>
      <c r="AO20" s="4">
        <f t="shared" si="3"/>
        <v>0</v>
      </c>
      <c r="AP20" s="5">
        <f t="shared" si="4"/>
        <v>0</v>
      </c>
      <c r="AQ20" s="6">
        <f t="shared" si="5"/>
        <v>0</v>
      </c>
      <c r="AR20" s="7">
        <f t="shared" si="6"/>
        <v>0</v>
      </c>
      <c r="AS20" s="8">
        <f t="shared" si="7"/>
        <v>0</v>
      </c>
      <c r="AT20" s="9">
        <f t="shared" si="8"/>
        <v>0</v>
      </c>
      <c r="AU20" s="3">
        <f t="shared" si="9"/>
        <v>0</v>
      </c>
      <c r="AV20" s="10">
        <f t="shared" si="10"/>
        <v>0</v>
      </c>
      <c r="AW20" s="11">
        <f t="shared" si="11"/>
        <v>0</v>
      </c>
      <c r="AX20" s="12">
        <f t="shared" si="12"/>
        <v>0</v>
      </c>
      <c r="AY20" s="13">
        <f t="shared" si="13"/>
        <v>0</v>
      </c>
      <c r="AZ20" s="104">
        <f t="shared" si="14"/>
        <v>0</v>
      </c>
      <c r="BA20" s="103">
        <f>COUNTIF(H20:AL20,"VA")</f>
        <v>0</v>
      </c>
    </row>
    <row r="21" spans="2:53" ht="18">
      <c r="B21" s="15"/>
      <c r="C21" s="15"/>
      <c r="D21" s="96"/>
      <c r="E21" s="40"/>
      <c r="F21" s="15"/>
      <c r="G21" s="15"/>
      <c r="H21" s="109"/>
      <c r="I21" s="109"/>
      <c r="J21" s="109"/>
      <c r="K21" s="109"/>
      <c r="L21" s="109"/>
      <c r="M21" s="109"/>
      <c r="N21" s="109"/>
      <c r="O21" s="109"/>
      <c r="P21" s="109"/>
      <c r="Q21" s="109"/>
      <c r="R21" s="92"/>
      <c r="S21" s="92"/>
      <c r="T21" s="92"/>
      <c r="U21" s="92"/>
      <c r="V21" s="92"/>
      <c r="W21" s="92"/>
      <c r="X21" s="92"/>
      <c r="Y21" s="92"/>
      <c r="Z21" s="92"/>
      <c r="AA21" s="92"/>
      <c r="AB21" s="92"/>
      <c r="AC21" s="92"/>
      <c r="AD21" s="92"/>
      <c r="AE21" s="92"/>
      <c r="AF21" s="92"/>
      <c r="AG21" s="92"/>
      <c r="AH21" s="92"/>
      <c r="AI21" s="92"/>
      <c r="AJ21" s="92"/>
      <c r="AK21" s="92"/>
      <c r="AL21" s="92"/>
      <c r="AM21" s="2">
        <f t="shared" si="1"/>
        <v>0</v>
      </c>
      <c r="AN21" s="3">
        <f t="shared" si="2"/>
        <v>0</v>
      </c>
      <c r="AO21" s="4">
        <f t="shared" si="3"/>
        <v>0</v>
      </c>
      <c r="AP21" s="5">
        <f t="shared" si="4"/>
        <v>0</v>
      </c>
      <c r="AQ21" s="6">
        <f t="shared" si="5"/>
        <v>0</v>
      </c>
      <c r="AR21" s="7">
        <f t="shared" si="6"/>
        <v>0</v>
      </c>
      <c r="AS21" s="8">
        <f t="shared" si="7"/>
        <v>0</v>
      </c>
      <c r="AT21" s="9">
        <f t="shared" si="8"/>
        <v>0</v>
      </c>
      <c r="AU21" s="3">
        <f t="shared" si="9"/>
        <v>0</v>
      </c>
      <c r="AV21" s="10">
        <f t="shared" si="10"/>
        <v>0</v>
      </c>
      <c r="AW21" s="11">
        <f t="shared" si="11"/>
        <v>0</v>
      </c>
      <c r="AX21" s="12">
        <f t="shared" si="12"/>
        <v>0</v>
      </c>
      <c r="AY21" s="13">
        <f t="shared" si="13"/>
        <v>0</v>
      </c>
      <c r="AZ21" s="104">
        <f t="shared" si="14"/>
        <v>0</v>
      </c>
      <c r="BA21" s="103">
        <f>COUNTIF(H21:AL21,"VA")</f>
        <v>0</v>
      </c>
    </row>
    <row r="22" spans="2:53" ht="18">
      <c r="B22" s="15"/>
      <c r="C22" s="15"/>
      <c r="D22" s="96"/>
      <c r="E22" s="40"/>
      <c r="F22" s="15"/>
      <c r="G22" s="15"/>
      <c r="H22" s="109"/>
      <c r="I22" s="109"/>
      <c r="J22" s="109"/>
      <c r="K22" s="109"/>
      <c r="L22" s="109"/>
      <c r="M22" s="109"/>
      <c r="N22" s="109"/>
      <c r="O22" s="109"/>
      <c r="P22" s="109"/>
      <c r="Q22" s="109"/>
      <c r="R22" s="92"/>
      <c r="S22" s="92"/>
      <c r="T22" s="92"/>
      <c r="U22" s="92"/>
      <c r="V22" s="92"/>
      <c r="W22" s="92"/>
      <c r="X22" s="92"/>
      <c r="Y22" s="92"/>
      <c r="Z22" s="92"/>
      <c r="AA22" s="92"/>
      <c r="AB22" s="92"/>
      <c r="AC22" s="92"/>
      <c r="AD22" s="92"/>
      <c r="AE22" s="92"/>
      <c r="AF22" s="92"/>
      <c r="AG22" s="92"/>
      <c r="AH22" s="92"/>
      <c r="AI22" s="92"/>
      <c r="AJ22" s="92"/>
      <c r="AK22" s="92"/>
      <c r="AL22" s="92"/>
      <c r="AM22" s="2">
        <f t="shared" si="1"/>
        <v>0</v>
      </c>
      <c r="AN22" s="3">
        <f t="shared" si="2"/>
        <v>0</v>
      </c>
      <c r="AO22" s="4">
        <f t="shared" si="3"/>
        <v>0</v>
      </c>
      <c r="AP22" s="5">
        <f t="shared" si="4"/>
        <v>0</v>
      </c>
      <c r="AQ22" s="6">
        <f t="shared" si="5"/>
        <v>0</v>
      </c>
      <c r="AR22" s="7">
        <f t="shared" si="6"/>
        <v>0</v>
      </c>
      <c r="AS22" s="8">
        <f t="shared" si="7"/>
        <v>0</v>
      </c>
      <c r="AT22" s="9">
        <f t="shared" si="8"/>
        <v>0</v>
      </c>
      <c r="AU22" s="3">
        <f t="shared" si="9"/>
        <v>0</v>
      </c>
      <c r="AV22" s="10">
        <f t="shared" si="10"/>
        <v>0</v>
      </c>
      <c r="AW22" s="11">
        <f t="shared" si="11"/>
        <v>0</v>
      </c>
      <c r="AX22" s="12">
        <f t="shared" si="12"/>
        <v>0</v>
      </c>
      <c r="AY22" s="13">
        <f t="shared" si="13"/>
        <v>0</v>
      </c>
      <c r="AZ22" s="104">
        <f t="shared" si="14"/>
        <v>0</v>
      </c>
      <c r="BA22" s="103">
        <f>COUNTIF(H22:AL22,"VA")</f>
        <v>0</v>
      </c>
    </row>
    <row r="23" spans="2:53" ht="18">
      <c r="B23" s="15"/>
      <c r="C23" s="15"/>
      <c r="D23" s="96"/>
      <c r="E23" s="40"/>
      <c r="F23" s="15"/>
      <c r="G23" s="15"/>
      <c r="H23" s="109"/>
      <c r="I23" s="109"/>
      <c r="J23" s="109"/>
      <c r="K23" s="109"/>
      <c r="L23" s="109"/>
      <c r="M23" s="109"/>
      <c r="N23" s="109"/>
      <c r="O23" s="109"/>
      <c r="P23" s="109"/>
      <c r="Q23" s="109"/>
      <c r="R23" s="92"/>
      <c r="S23" s="92"/>
      <c r="T23" s="92"/>
      <c r="U23" s="92"/>
      <c r="V23" s="92"/>
      <c r="W23" s="92"/>
      <c r="X23" s="92"/>
      <c r="Y23" s="92"/>
      <c r="Z23" s="92"/>
      <c r="AA23" s="92"/>
      <c r="AB23" s="92"/>
      <c r="AC23" s="92"/>
      <c r="AD23" s="92"/>
      <c r="AE23" s="92"/>
      <c r="AF23" s="92"/>
      <c r="AG23" s="92"/>
      <c r="AH23" s="92"/>
      <c r="AI23" s="92"/>
      <c r="AJ23" s="92"/>
      <c r="AK23" s="92"/>
      <c r="AL23" s="92"/>
      <c r="AM23" s="2">
        <f t="shared" si="1"/>
        <v>0</v>
      </c>
      <c r="AN23" s="3">
        <f t="shared" si="2"/>
        <v>0</v>
      </c>
      <c r="AO23" s="4">
        <f t="shared" si="3"/>
        <v>0</v>
      </c>
      <c r="AP23" s="5">
        <f t="shared" si="4"/>
        <v>0</v>
      </c>
      <c r="AQ23" s="6">
        <f t="shared" si="5"/>
        <v>0</v>
      </c>
      <c r="AR23" s="7">
        <f t="shared" si="6"/>
        <v>0</v>
      </c>
      <c r="AS23" s="8">
        <f t="shared" si="7"/>
        <v>0</v>
      </c>
      <c r="AT23" s="9">
        <f t="shared" si="8"/>
        <v>0</v>
      </c>
      <c r="AU23" s="3">
        <f t="shared" si="9"/>
        <v>0</v>
      </c>
      <c r="AV23" s="10">
        <f t="shared" si="10"/>
        <v>0</v>
      </c>
      <c r="AW23" s="11">
        <f t="shared" si="11"/>
        <v>0</v>
      </c>
      <c r="AX23" s="12">
        <f t="shared" si="12"/>
        <v>0</v>
      </c>
      <c r="AY23" s="13">
        <f t="shared" si="13"/>
        <v>0</v>
      </c>
      <c r="AZ23" s="104">
        <f t="shared" si="14"/>
        <v>0</v>
      </c>
      <c r="BA23" s="103">
        <f>COUNTIF(H23:AL23,"VA")</f>
        <v>0</v>
      </c>
    </row>
    <row r="24" spans="2:53" ht="18">
      <c r="B24" s="15"/>
      <c r="C24" s="15"/>
      <c r="D24" s="96"/>
      <c r="E24" s="40"/>
      <c r="F24" s="15"/>
      <c r="G24" s="15"/>
      <c r="H24" s="109"/>
      <c r="I24" s="109"/>
      <c r="J24" s="109"/>
      <c r="K24" s="109"/>
      <c r="L24" s="109"/>
      <c r="M24" s="109"/>
      <c r="N24" s="109"/>
      <c r="O24" s="109"/>
      <c r="P24" s="109"/>
      <c r="Q24" s="109"/>
      <c r="R24" s="92"/>
      <c r="S24" s="92"/>
      <c r="T24" s="92"/>
      <c r="U24" s="92"/>
      <c r="V24" s="92"/>
      <c r="W24" s="92"/>
      <c r="X24" s="92"/>
      <c r="Y24" s="92"/>
      <c r="Z24" s="92"/>
      <c r="AA24" s="92"/>
      <c r="AB24" s="92"/>
      <c r="AC24" s="92"/>
      <c r="AD24" s="92"/>
      <c r="AE24" s="92"/>
      <c r="AF24" s="92"/>
      <c r="AG24" s="92"/>
      <c r="AH24" s="92"/>
      <c r="AI24" s="92"/>
      <c r="AJ24" s="92"/>
      <c r="AK24" s="92"/>
      <c r="AL24" s="92"/>
      <c r="AM24" s="2">
        <f t="shared" si="1"/>
        <v>0</v>
      </c>
      <c r="AN24" s="3">
        <f t="shared" si="2"/>
        <v>0</v>
      </c>
      <c r="AO24" s="4">
        <f t="shared" si="3"/>
        <v>0</v>
      </c>
      <c r="AP24" s="5">
        <f t="shared" si="4"/>
        <v>0</v>
      </c>
      <c r="AQ24" s="6">
        <f t="shared" si="5"/>
        <v>0</v>
      </c>
      <c r="AR24" s="7">
        <f t="shared" si="6"/>
        <v>0</v>
      </c>
      <c r="AS24" s="8">
        <f t="shared" si="7"/>
        <v>0</v>
      </c>
      <c r="AT24" s="9">
        <f t="shared" si="8"/>
        <v>0</v>
      </c>
      <c r="AU24" s="3">
        <f t="shared" si="9"/>
        <v>0</v>
      </c>
      <c r="AV24" s="10">
        <f t="shared" si="10"/>
        <v>0</v>
      </c>
      <c r="AW24" s="11">
        <f t="shared" si="11"/>
        <v>0</v>
      </c>
      <c r="AX24" s="12">
        <f t="shared" si="12"/>
        <v>0</v>
      </c>
      <c r="AY24" s="13">
        <f t="shared" si="13"/>
        <v>0</v>
      </c>
      <c r="AZ24" s="104">
        <f t="shared" si="14"/>
        <v>0</v>
      </c>
      <c r="BA24" s="103">
        <f>COUNTIF(H24:AL24,"VA")</f>
        <v>0</v>
      </c>
    </row>
    <row r="25" spans="2:53" ht="18">
      <c r="B25" s="15"/>
      <c r="C25" s="15"/>
      <c r="D25" s="96"/>
      <c r="E25" s="40"/>
      <c r="F25" s="15"/>
      <c r="G25" s="15"/>
      <c r="H25" s="109"/>
      <c r="I25" s="109"/>
      <c r="J25" s="109"/>
      <c r="K25" s="109"/>
      <c r="L25" s="109"/>
      <c r="M25" s="109"/>
      <c r="N25" s="109"/>
      <c r="O25" s="109"/>
      <c r="P25" s="109"/>
      <c r="Q25" s="109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2"/>
      <c r="AG25" s="92"/>
      <c r="AH25" s="92"/>
      <c r="AI25" s="92"/>
      <c r="AJ25" s="92"/>
      <c r="AK25" s="92"/>
      <c r="AL25" s="92"/>
      <c r="AM25" s="2">
        <f t="shared" si="1"/>
        <v>0</v>
      </c>
      <c r="AN25" s="3">
        <f t="shared" si="2"/>
        <v>0</v>
      </c>
      <c r="AO25" s="4">
        <f t="shared" si="3"/>
        <v>0</v>
      </c>
      <c r="AP25" s="5">
        <f t="shared" si="4"/>
        <v>0</v>
      </c>
      <c r="AQ25" s="6">
        <f t="shared" si="5"/>
        <v>0</v>
      </c>
      <c r="AR25" s="7">
        <f t="shared" si="6"/>
        <v>0</v>
      </c>
      <c r="AS25" s="8">
        <f t="shared" si="7"/>
        <v>0</v>
      </c>
      <c r="AT25" s="9">
        <f t="shared" si="8"/>
        <v>0</v>
      </c>
      <c r="AU25" s="3">
        <f t="shared" si="9"/>
        <v>0</v>
      </c>
      <c r="AV25" s="10">
        <f t="shared" si="10"/>
        <v>0</v>
      </c>
      <c r="AW25" s="11">
        <f t="shared" si="11"/>
        <v>0</v>
      </c>
      <c r="AX25" s="12">
        <f t="shared" si="12"/>
        <v>0</v>
      </c>
      <c r="AY25" s="13">
        <f t="shared" si="13"/>
        <v>0</v>
      </c>
      <c r="AZ25" s="104">
        <f t="shared" si="14"/>
        <v>0</v>
      </c>
      <c r="BA25" s="103">
        <f>COUNTIF(H25:AL25,"VA")</f>
        <v>0</v>
      </c>
    </row>
    <row r="26" spans="2:53" ht="18">
      <c r="B26" s="15"/>
      <c r="C26" s="15"/>
      <c r="D26" s="96"/>
      <c r="E26" s="40"/>
      <c r="F26" s="15"/>
      <c r="G26" s="15"/>
      <c r="H26" s="109"/>
      <c r="I26" s="109"/>
      <c r="J26" s="109"/>
      <c r="K26" s="109"/>
      <c r="L26" s="109"/>
      <c r="M26" s="109"/>
      <c r="N26" s="109"/>
      <c r="O26" s="109"/>
      <c r="P26" s="109"/>
      <c r="Q26" s="109"/>
      <c r="R26" s="92"/>
      <c r="S26" s="92"/>
      <c r="T26" s="92"/>
      <c r="U26" s="92"/>
      <c r="V26" s="92"/>
      <c r="W26" s="92"/>
      <c r="X26" s="92"/>
      <c r="Y26" s="92"/>
      <c r="Z26" s="92"/>
      <c r="AA26" s="92"/>
      <c r="AB26" s="92"/>
      <c r="AC26" s="92"/>
      <c r="AD26" s="92"/>
      <c r="AE26" s="92"/>
      <c r="AF26" s="92"/>
      <c r="AG26" s="92"/>
      <c r="AH26" s="92"/>
      <c r="AI26" s="92"/>
      <c r="AJ26" s="92"/>
      <c r="AK26" s="92"/>
      <c r="AL26" s="92"/>
      <c r="AM26" s="2">
        <f t="shared" si="1"/>
        <v>0</v>
      </c>
      <c r="AN26" s="3">
        <f t="shared" si="2"/>
        <v>0</v>
      </c>
      <c r="AO26" s="4">
        <f t="shared" si="3"/>
        <v>0</v>
      </c>
      <c r="AP26" s="5">
        <f t="shared" si="4"/>
        <v>0</v>
      </c>
      <c r="AQ26" s="6">
        <f t="shared" si="5"/>
        <v>0</v>
      </c>
      <c r="AR26" s="7">
        <f t="shared" si="6"/>
        <v>0</v>
      </c>
      <c r="AS26" s="8">
        <f t="shared" si="7"/>
        <v>0</v>
      </c>
      <c r="AT26" s="9">
        <f t="shared" si="8"/>
        <v>0</v>
      </c>
      <c r="AU26" s="3">
        <f t="shared" si="9"/>
        <v>0</v>
      </c>
      <c r="AV26" s="10">
        <f t="shared" si="10"/>
        <v>0</v>
      </c>
      <c r="AW26" s="11">
        <f t="shared" si="11"/>
        <v>0</v>
      </c>
      <c r="AX26" s="12">
        <f t="shared" si="12"/>
        <v>0</v>
      </c>
      <c r="AY26" s="13">
        <f t="shared" si="13"/>
        <v>0</v>
      </c>
      <c r="AZ26" s="104">
        <f t="shared" si="14"/>
        <v>0</v>
      </c>
      <c r="BA26" s="103">
        <f>COUNTIF(H26:AL26,"VA")</f>
        <v>0</v>
      </c>
    </row>
    <row r="27" spans="2:53" ht="18">
      <c r="B27" s="15"/>
      <c r="C27" s="15"/>
      <c r="D27" s="96"/>
      <c r="E27" s="40"/>
      <c r="F27" s="15"/>
      <c r="G27" s="15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92"/>
      <c r="S27" s="92"/>
      <c r="T27" s="92"/>
      <c r="U27" s="92"/>
      <c r="V27" s="92"/>
      <c r="W27" s="92"/>
      <c r="X27" s="92"/>
      <c r="Y27" s="92"/>
      <c r="Z27" s="92"/>
      <c r="AA27" s="92"/>
      <c r="AB27" s="92"/>
      <c r="AC27" s="92"/>
      <c r="AD27" s="92"/>
      <c r="AE27" s="92"/>
      <c r="AF27" s="92"/>
      <c r="AG27" s="92"/>
      <c r="AH27" s="92"/>
      <c r="AI27" s="92"/>
      <c r="AJ27" s="92"/>
      <c r="AK27" s="92"/>
      <c r="AL27" s="92"/>
      <c r="AM27" s="2">
        <f t="shared" si="1"/>
        <v>0</v>
      </c>
      <c r="AN27" s="3">
        <f t="shared" si="2"/>
        <v>0</v>
      </c>
      <c r="AO27" s="4">
        <f t="shared" si="3"/>
        <v>0</v>
      </c>
      <c r="AP27" s="5">
        <f t="shared" si="4"/>
        <v>0</v>
      </c>
      <c r="AQ27" s="6">
        <f t="shared" si="5"/>
        <v>0</v>
      </c>
      <c r="AR27" s="7">
        <f t="shared" si="6"/>
        <v>0</v>
      </c>
      <c r="AS27" s="8">
        <f t="shared" si="7"/>
        <v>0</v>
      </c>
      <c r="AT27" s="9">
        <f t="shared" si="8"/>
        <v>0</v>
      </c>
      <c r="AU27" s="3">
        <f t="shared" si="9"/>
        <v>0</v>
      </c>
      <c r="AV27" s="10">
        <f t="shared" si="10"/>
        <v>0</v>
      </c>
      <c r="AW27" s="11">
        <f t="shared" si="11"/>
        <v>0</v>
      </c>
      <c r="AX27" s="12">
        <f t="shared" si="12"/>
        <v>0</v>
      </c>
      <c r="AY27" s="13">
        <f t="shared" si="13"/>
        <v>0</v>
      </c>
      <c r="AZ27" s="104">
        <f t="shared" si="14"/>
        <v>0</v>
      </c>
      <c r="BA27" s="103">
        <f>COUNTIF(H27:AL27,"VA")</f>
        <v>0</v>
      </c>
    </row>
    <row r="28" spans="2:53" ht="18">
      <c r="B28" s="15"/>
      <c r="C28" s="15"/>
      <c r="D28" s="15"/>
      <c r="E28" s="15"/>
      <c r="F28" s="15"/>
      <c r="G28" s="15"/>
      <c r="H28" s="109"/>
      <c r="I28" s="109"/>
      <c r="J28" s="109"/>
      <c r="K28" s="109"/>
      <c r="L28" s="109"/>
      <c r="M28" s="109"/>
      <c r="N28" s="109"/>
      <c r="O28" s="109"/>
      <c r="P28" s="109"/>
      <c r="Q28" s="109"/>
      <c r="R28" s="92"/>
      <c r="S28" s="92"/>
      <c r="T28" s="92"/>
      <c r="U28" s="92"/>
      <c r="V28" s="92"/>
      <c r="W28" s="92"/>
      <c r="X28" s="92"/>
      <c r="Y28" s="92"/>
      <c r="Z28" s="92"/>
      <c r="AA28" s="92"/>
      <c r="AB28" s="92"/>
      <c r="AC28" s="92"/>
      <c r="AD28" s="92"/>
      <c r="AE28" s="92"/>
      <c r="AF28" s="92"/>
      <c r="AG28" s="92"/>
      <c r="AH28" s="92"/>
      <c r="AI28" s="92"/>
      <c r="AJ28" s="92"/>
      <c r="AK28" s="92"/>
      <c r="AL28" s="92"/>
      <c r="AM28" s="2">
        <f t="shared" si="1"/>
        <v>0</v>
      </c>
      <c r="AN28" s="3">
        <f t="shared" si="2"/>
        <v>0</v>
      </c>
      <c r="AO28" s="4">
        <f t="shared" si="3"/>
        <v>0</v>
      </c>
      <c r="AP28" s="5">
        <f t="shared" si="4"/>
        <v>0</v>
      </c>
      <c r="AQ28" s="6">
        <f t="shared" si="5"/>
        <v>0</v>
      </c>
      <c r="AR28" s="7">
        <f t="shared" si="6"/>
        <v>0</v>
      </c>
      <c r="AS28" s="8">
        <f t="shared" si="7"/>
        <v>0</v>
      </c>
      <c r="AT28" s="9">
        <f t="shared" si="8"/>
        <v>0</v>
      </c>
      <c r="AU28" s="3">
        <f t="shared" si="9"/>
        <v>0</v>
      </c>
      <c r="AV28" s="10">
        <f t="shared" si="10"/>
        <v>0</v>
      </c>
      <c r="AW28" s="11">
        <f t="shared" si="11"/>
        <v>0</v>
      </c>
      <c r="AX28" s="12">
        <f t="shared" si="12"/>
        <v>0</v>
      </c>
      <c r="AY28" s="13">
        <f t="shared" si="13"/>
        <v>0</v>
      </c>
      <c r="AZ28" s="104">
        <f t="shared" si="14"/>
        <v>0</v>
      </c>
      <c r="BA28" s="103">
        <f>COUNTIF(H28:AL28,"VA")</f>
        <v>0</v>
      </c>
    </row>
    <row r="29" spans="2:53" ht="18">
      <c r="B29" s="16"/>
      <c r="C29" s="16"/>
      <c r="D29" s="96"/>
      <c r="E29" s="40"/>
      <c r="F29" s="16"/>
      <c r="G29" s="15"/>
      <c r="H29" s="109"/>
      <c r="I29" s="109"/>
      <c r="J29" s="109"/>
      <c r="K29" s="109"/>
      <c r="L29" s="109"/>
      <c r="M29" s="109"/>
      <c r="N29" s="109"/>
      <c r="O29" s="109"/>
      <c r="P29" s="109"/>
      <c r="Q29" s="109"/>
      <c r="R29" s="92"/>
      <c r="S29" s="92"/>
      <c r="T29" s="92"/>
      <c r="U29" s="92"/>
      <c r="V29" s="92"/>
      <c r="W29" s="92"/>
      <c r="X29" s="92"/>
      <c r="Y29" s="92"/>
      <c r="Z29" s="92"/>
      <c r="AA29" s="92"/>
      <c r="AB29" s="92"/>
      <c r="AC29" s="92"/>
      <c r="AD29" s="92"/>
      <c r="AE29" s="92"/>
      <c r="AF29" s="92"/>
      <c r="AG29" s="92"/>
      <c r="AH29" s="92"/>
      <c r="AI29" s="92"/>
      <c r="AJ29" s="92"/>
      <c r="AK29" s="92"/>
      <c r="AL29" s="92"/>
      <c r="AM29" s="2">
        <f t="shared" si="1"/>
        <v>0</v>
      </c>
      <c r="AN29" s="3">
        <f t="shared" si="2"/>
        <v>0</v>
      </c>
      <c r="AO29" s="4">
        <f t="shared" si="3"/>
        <v>0</v>
      </c>
      <c r="AP29" s="5">
        <f t="shared" si="4"/>
        <v>0</v>
      </c>
      <c r="AQ29" s="6">
        <f t="shared" si="5"/>
        <v>0</v>
      </c>
      <c r="AR29" s="7">
        <f t="shared" si="6"/>
        <v>0</v>
      </c>
      <c r="AS29" s="8">
        <f t="shared" si="7"/>
        <v>0</v>
      </c>
      <c r="AT29" s="9">
        <f t="shared" si="8"/>
        <v>0</v>
      </c>
      <c r="AU29" s="3">
        <f t="shared" si="9"/>
        <v>0</v>
      </c>
      <c r="AV29" s="10">
        <f t="shared" si="10"/>
        <v>0</v>
      </c>
      <c r="AW29" s="11">
        <f t="shared" si="11"/>
        <v>0</v>
      </c>
      <c r="AX29" s="12">
        <f t="shared" si="12"/>
        <v>0</v>
      </c>
      <c r="AY29" s="13">
        <f t="shared" si="13"/>
        <v>0</v>
      </c>
      <c r="AZ29" s="104">
        <f t="shared" si="14"/>
        <v>0</v>
      </c>
      <c r="BA29" s="103">
        <f>COUNTIF(H29:AL29,"VA")</f>
        <v>0</v>
      </c>
    </row>
    <row r="30" spans="2:53" ht="18">
      <c r="B30" s="123" t="s">
        <v>74</v>
      </c>
      <c r="C30" s="124"/>
      <c r="D30" s="124"/>
      <c r="E30" s="124"/>
      <c r="F30" s="124"/>
      <c r="G30" s="125"/>
      <c r="H30" s="126"/>
      <c r="I30" s="127"/>
      <c r="J30" s="127"/>
      <c r="K30" s="127"/>
      <c r="L30" s="127"/>
      <c r="M30" s="127"/>
      <c r="N30" s="127"/>
      <c r="O30" s="127"/>
      <c r="P30" s="127"/>
      <c r="Q30" s="127"/>
      <c r="R30" s="127"/>
      <c r="S30" s="127"/>
      <c r="T30" s="127"/>
      <c r="U30" s="127"/>
      <c r="V30" s="127"/>
      <c r="W30" s="127"/>
      <c r="X30" s="127"/>
      <c r="Y30" s="127"/>
      <c r="Z30" s="127"/>
      <c r="AA30" s="127"/>
      <c r="AB30" s="127"/>
      <c r="AC30" s="127"/>
      <c r="AD30" s="127"/>
      <c r="AE30" s="127"/>
      <c r="AF30" s="127"/>
      <c r="AG30" s="127"/>
      <c r="AH30" s="127"/>
      <c r="AI30" s="127"/>
      <c r="AJ30" s="127"/>
      <c r="AK30" s="127"/>
      <c r="AL30" s="128"/>
      <c r="AM30" s="14">
        <f>SUM(AM10:AM29)</f>
        <v>0</v>
      </c>
      <c r="AN30" s="14">
        <f t="shared" ref="AN30:AW30" si="15">SUM(AN10:AN29)</f>
        <v>0</v>
      </c>
      <c r="AO30" s="14">
        <f t="shared" si="15"/>
        <v>0</v>
      </c>
      <c r="AP30" s="14">
        <f t="shared" si="15"/>
        <v>0</v>
      </c>
      <c r="AQ30" s="14">
        <f t="shared" si="15"/>
        <v>0</v>
      </c>
      <c r="AR30" s="14">
        <f t="shared" si="15"/>
        <v>0</v>
      </c>
      <c r="AS30" s="14">
        <f t="shared" si="15"/>
        <v>0</v>
      </c>
      <c r="AT30" s="14">
        <f t="shared" si="15"/>
        <v>0</v>
      </c>
      <c r="AU30" s="14">
        <f t="shared" si="15"/>
        <v>0</v>
      </c>
      <c r="AV30" s="14">
        <f t="shared" si="15"/>
        <v>0</v>
      </c>
      <c r="AW30" s="14">
        <f>SUM(AW10:AW29)</f>
        <v>0</v>
      </c>
      <c r="AX30" s="14">
        <f>SUM(AX10:AX29)</f>
        <v>0</v>
      </c>
      <c r="AY30" s="14">
        <f>SUM(AY10:AY29)</f>
        <v>0</v>
      </c>
      <c r="AZ30" s="14">
        <f>SUM(AZ10:AZ29)</f>
        <v>0</v>
      </c>
      <c r="BA30" s="14">
        <f>SUM(BA10:BA29)</f>
        <v>0</v>
      </c>
    </row>
    <row r="33" spans="6:6">
      <c r="F33" s="38"/>
    </row>
  </sheetData>
  <sheetProtection formatCells="0" formatColumns="0" formatRows="0" sort="0" autoFilter="0" pivotTables="0"/>
  <mergeCells count="4">
    <mergeCell ref="B1:BA1"/>
    <mergeCell ref="B8:G8"/>
    <mergeCell ref="B30:G30"/>
    <mergeCell ref="H30:AL30"/>
  </mergeCells>
  <conditionalFormatting sqref="H10:AL29">
    <cfRule type="containsText" dxfId="184" priority="1" operator="containsText" text="FD">
      <formula>NOT(ISERROR(SEARCH("FD",H10)))</formula>
    </cfRule>
    <cfRule type="containsText" dxfId="183" priority="2" operator="containsText" text="VA">
      <formula>NOT(ISERROR(SEARCH("VA",H10)))</formula>
    </cfRule>
    <cfRule type="containsText" dxfId="182" priority="3" operator="containsText" text="FT">
      <formula>NOT(ISERROR(SEARCH("FT",H10)))</formula>
    </cfRule>
    <cfRule type="containsText" dxfId="181" priority="4" operator="containsText" text="AM">
      <formula>NOT(ISERROR(SEARCH("AM",H10)))</formula>
    </cfRule>
    <cfRule type="containsText" dxfId="180" priority="5" operator="containsText" text="SP">
      <formula>NOT(ISERROR(SEARCH("SP",H10)))</formula>
    </cfRule>
    <cfRule type="containsText" dxfId="179" priority="6" operator="containsText" text="DM">
      <formula>NOT(ISERROR(SEARCH("DM",H10)))</formula>
    </cfRule>
    <cfRule type="containsText" dxfId="178" priority="7" operator="containsText" text="A">
      <formula>NOT(ISERROR(SEARCH("A",H10)))</formula>
    </cfRule>
    <cfRule type="containsText" dxfId="177" priority="8" operator="containsText" text="F">
      <formula>NOT(ISERROR(SEARCH("F",H10)))</formula>
    </cfRule>
    <cfRule type="containsText" dxfId="176" priority="9" operator="containsText" text="D">
      <formula>NOT(ISERROR(SEARCH("D",H10)))</formula>
    </cfRule>
    <cfRule type="containsText" dxfId="175" priority="10" operator="containsText" text="V">
      <formula>NOT(ISERROR(SEARCH("V",H10)))</formula>
    </cfRule>
    <cfRule type="containsText" dxfId="174" priority="11" operator="containsText" text="LCG">
      <formula>NOT(ISERROR(SEARCH("LCG",H10)))</formula>
    </cfRule>
    <cfRule type="containsText" dxfId="173" priority="12" operator="containsText" text="LSG">
      <formula>NOT(ISERROR(SEARCH("LSG",H10)))</formula>
    </cfRule>
    <cfRule type="containsText" dxfId="172" priority="13" operator="containsText" text="LPP">
      <formula>NOT(ISERROR(SEARCH("LPP",H10)))</formula>
    </cfRule>
    <cfRule type="containsText" dxfId="171" priority="14" operator="containsText" text="S">
      <formula>NOT(ISERROR(SEARCH("S",H10)))</formula>
    </cfRule>
    <cfRule type="containsText" dxfId="170" priority="15" operator="containsText" text="CE">
      <formula>NOT(ISERROR(SEARCH("CE",H10)))</formula>
    </cfRule>
  </conditionalFormatting>
  <dataValidations count="4">
    <dataValidation type="list" allowBlank="1" showInputMessage="1" showErrorMessage="1" sqref="G10:G29" xr:uid="{3003A6E2-6892-472C-93CF-7C541BA30C3F}">
      <formula1>Lista_TipoTrabajador</formula1>
    </dataValidation>
    <dataValidation type="list" allowBlank="1" showInputMessage="1" showErrorMessage="1" sqref="E10:E29" xr:uid="{7944D6E0-87C9-4D36-8227-8936370EF3DA}">
      <formula1>ListaSubArea</formula1>
    </dataValidation>
    <dataValidation type="list" allowBlank="1" showInputMessage="1" showErrorMessage="1" sqref="D10:D29" xr:uid="{C906DA2B-FE03-4523-B069-FB9D82A58468}">
      <formula1>ListaArea</formula1>
    </dataValidation>
    <dataValidation type="list" allowBlank="1" showInputMessage="1" showErrorMessage="1" errorTitle="Código inválido" error="Selecciona un código válido." promptTitle="Estado del día" prompt="A - F - D - V - DM - AM - LCG - LSG - LPP - S - SP - CE - FE" sqref="H10:AL29" xr:uid="{FF24C83E-C892-4E6F-BE40-B8A94C590CB0}">
      <formula1>Estados</formula1>
    </dataValidation>
  </dataValidations>
  <pageMargins left="0.7" right="0.7" top="0.75" bottom="0.75" header="0.3" footer="0.3"/>
  <pageSetup paperSize="9" orientation="portrait" r:id="rId1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F0440-F691-4738-A125-7DEFC92F190E}">
  <dimension ref="B1:BA33"/>
  <sheetViews>
    <sheetView zoomScale="55" zoomScaleNormal="55" workbookViewId="0">
      <pane xSplit="3" ySplit="1" topLeftCell="AS2" activePane="bottomRight" state="frozen"/>
      <selection pane="bottomRight" activeCell="E15" sqref="E15"/>
      <selection pane="bottomLeft" activeCell="A2" sqref="A2"/>
      <selection pane="topRight" activeCell="D1" sqref="D1"/>
    </sheetView>
  </sheetViews>
  <sheetFormatPr defaultColWidth="8.5703125" defaultRowHeight="14.45"/>
  <cols>
    <col min="1" max="1" width="14.7109375" style="1" customWidth="1"/>
    <col min="2" max="2" width="21.140625" style="1" customWidth="1"/>
    <col min="3" max="3" width="40.5703125" style="1" customWidth="1"/>
    <col min="4" max="4" width="20.42578125" style="1" customWidth="1"/>
    <col min="5" max="5" width="30.42578125" style="1" customWidth="1"/>
    <col min="6" max="6" width="32.7109375" style="1" customWidth="1"/>
    <col min="7" max="7" width="27.85546875" style="1" customWidth="1"/>
    <col min="8" max="10" width="12.28515625" style="1" customWidth="1"/>
    <col min="11" max="11" width="11.7109375" style="1" customWidth="1"/>
    <col min="12" max="12" width="11.85546875" style="1" customWidth="1"/>
    <col min="13" max="13" width="12.7109375" style="1" customWidth="1"/>
    <col min="14" max="14" width="13" style="1" customWidth="1"/>
    <col min="15" max="15" width="12.28515625" style="1" customWidth="1"/>
    <col min="16" max="16" width="12.7109375" style="1" customWidth="1"/>
    <col min="17" max="17" width="13" style="1" customWidth="1"/>
    <col min="18" max="18" width="12.28515625" style="1" customWidth="1"/>
    <col min="19" max="19" width="12.5703125" style="1" customWidth="1"/>
    <col min="20" max="20" width="12.7109375" style="1" customWidth="1"/>
    <col min="21" max="21" width="12" style="1" customWidth="1"/>
    <col min="22" max="22" width="12.7109375" style="1" customWidth="1"/>
    <col min="23" max="23" width="12.42578125" style="1" customWidth="1"/>
    <col min="24" max="24" width="12.7109375" style="1" customWidth="1"/>
    <col min="25" max="25" width="12.5703125" style="1" customWidth="1"/>
    <col min="26" max="27" width="12.7109375" style="1" customWidth="1"/>
    <col min="28" max="28" width="12.28515625" style="1" customWidth="1"/>
    <col min="29" max="29" width="13.28515625" style="1" customWidth="1"/>
    <col min="30" max="30" width="12.42578125" style="1" customWidth="1"/>
    <col min="31" max="31" width="13.28515625" style="1" customWidth="1"/>
    <col min="32" max="32" width="12.28515625" style="1" customWidth="1"/>
    <col min="33" max="33" width="12.7109375" style="1" customWidth="1"/>
    <col min="34" max="34" width="12.5703125" style="1" customWidth="1"/>
    <col min="35" max="35" width="12.28515625" style="1" customWidth="1"/>
    <col min="36" max="37" width="12.7109375" style="1" customWidth="1"/>
    <col min="38" max="38" width="12.42578125" style="1" customWidth="1"/>
    <col min="39" max="39" width="11.28515625" style="1" bestFit="1" customWidth="1"/>
    <col min="40" max="40" width="10.7109375" style="1" bestFit="1" customWidth="1"/>
    <col min="41" max="41" width="12.85546875" style="1" bestFit="1" customWidth="1"/>
    <col min="42" max="42" width="14.85546875" style="1" bestFit="1" customWidth="1"/>
    <col min="43" max="43" width="22.5703125" style="1" bestFit="1" customWidth="1"/>
    <col min="44" max="44" width="21.140625" style="1" bestFit="1" customWidth="1"/>
    <col min="45" max="45" width="24" style="1" bestFit="1" customWidth="1"/>
    <col min="46" max="46" width="22.85546875" style="1" bestFit="1" customWidth="1"/>
    <col min="47" max="47" width="18.7109375" style="1" bestFit="1" customWidth="1"/>
    <col min="48" max="48" width="14.85546875" style="1" bestFit="1" customWidth="1"/>
    <col min="49" max="49" width="12.7109375" style="1" bestFit="1" customWidth="1"/>
    <col min="50" max="50" width="12.42578125" style="1" bestFit="1" customWidth="1"/>
    <col min="51" max="51" width="29.5703125" style="1" customWidth="1"/>
    <col min="52" max="52" width="26" style="1" customWidth="1"/>
    <col min="53" max="53" width="28.140625" style="1" customWidth="1"/>
    <col min="54" max="16384" width="8.5703125" style="1"/>
  </cols>
  <sheetData>
    <row r="1" spans="2:53" ht="25.9">
      <c r="B1" s="118" t="s">
        <v>0</v>
      </c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19"/>
      <c r="Q1" s="119"/>
      <c r="R1" s="119"/>
      <c r="S1" s="119"/>
      <c r="T1" s="119"/>
      <c r="U1" s="119"/>
      <c r="V1" s="119"/>
      <c r="W1" s="119"/>
      <c r="X1" s="119"/>
      <c r="Y1" s="119"/>
      <c r="Z1" s="119"/>
      <c r="AA1" s="119"/>
      <c r="AB1" s="119"/>
      <c r="AC1" s="119"/>
      <c r="AD1" s="119"/>
      <c r="AE1" s="119"/>
      <c r="AF1" s="119"/>
      <c r="AG1" s="119"/>
      <c r="AH1" s="119"/>
      <c r="AI1" s="119"/>
      <c r="AJ1" s="119"/>
      <c r="AK1" s="119"/>
      <c r="AL1" s="119"/>
      <c r="AM1" s="119"/>
      <c r="AN1" s="119"/>
      <c r="AO1" s="119"/>
      <c r="AP1" s="119"/>
      <c r="AQ1" s="119"/>
      <c r="AR1" s="119"/>
      <c r="AS1" s="119"/>
      <c r="AT1" s="119"/>
      <c r="AU1" s="119"/>
      <c r="AV1" s="119"/>
      <c r="AW1" s="119"/>
      <c r="AX1" s="119"/>
      <c r="AY1" s="119"/>
      <c r="AZ1" s="119"/>
      <c r="BA1" s="119"/>
    </row>
    <row r="2" spans="2:53" ht="28.15" customHeight="1">
      <c r="B2" s="17"/>
      <c r="C2" s="22"/>
      <c r="D2" s="22"/>
      <c r="E2" s="22"/>
      <c r="F2" s="22"/>
      <c r="G2" s="22"/>
      <c r="H2" s="18"/>
      <c r="I2" s="28"/>
      <c r="J2" s="28"/>
      <c r="K2" s="28"/>
      <c r="L2" s="28"/>
      <c r="M2" s="2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9"/>
    </row>
    <row r="3" spans="2:53" ht="28.15" customHeight="1">
      <c r="B3" s="23"/>
      <c r="C3" s="24"/>
      <c r="D3" s="24"/>
      <c r="E3" s="30" t="s">
        <v>1</v>
      </c>
      <c r="F3" s="24"/>
      <c r="G3" s="24"/>
      <c r="H3" s="28"/>
      <c r="I3" s="28"/>
      <c r="J3" s="28"/>
      <c r="K3" s="28"/>
      <c r="L3" s="28"/>
      <c r="M3" s="28"/>
      <c r="N3" s="28"/>
      <c r="O3" s="28"/>
      <c r="P3" s="33"/>
      <c r="Q3" s="34" t="s">
        <v>2</v>
      </c>
      <c r="R3" s="33"/>
      <c r="S3" s="35"/>
      <c r="T3" s="35"/>
      <c r="U3" s="27" t="s">
        <v>3</v>
      </c>
      <c r="V3" s="31" t="s">
        <v>4</v>
      </c>
      <c r="W3" s="31"/>
      <c r="X3" s="31"/>
      <c r="Y3" s="31"/>
      <c r="Z3" s="31" t="s">
        <v>5</v>
      </c>
      <c r="AA3" s="31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  <c r="AR3" s="28"/>
      <c r="AS3" s="28"/>
      <c r="AT3" s="28"/>
      <c r="AU3" s="28"/>
      <c r="AV3" s="28"/>
      <c r="AW3" s="28"/>
      <c r="AX3" s="28"/>
      <c r="AY3" s="28"/>
      <c r="AZ3" s="28"/>
      <c r="BA3" s="29"/>
    </row>
    <row r="4" spans="2:53" ht="25.9" customHeight="1">
      <c r="B4" s="25"/>
      <c r="C4" s="26"/>
      <c r="D4" s="26"/>
      <c r="E4" s="26"/>
      <c r="F4" s="26"/>
      <c r="G4" s="26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1"/>
    </row>
    <row r="8" spans="2:53" ht="21">
      <c r="B8" s="120" t="s">
        <v>6</v>
      </c>
      <c r="C8" s="121"/>
      <c r="D8" s="121"/>
      <c r="E8" s="121"/>
      <c r="F8" s="121"/>
      <c r="G8" s="122"/>
      <c r="H8" s="107" t="str">
        <f>CHOOSE(WEEKDAY($B$70+COLUMN()-COLUMN($H$9),2),"L","M","M","J","V","S","D")</f>
        <v>S</v>
      </c>
      <c r="I8" s="91" t="str">
        <f t="shared" ref="I8:AL8" si="0">CHOOSE(WEEKDAY($B$70+COLUMN()-COLUMN($H$9),2),"L","M","M","J","V","S","D")</f>
        <v>D</v>
      </c>
      <c r="J8" s="91" t="str">
        <f t="shared" si="0"/>
        <v>L</v>
      </c>
      <c r="K8" s="91" t="str">
        <f t="shared" si="0"/>
        <v>M</v>
      </c>
      <c r="L8" s="91" t="str">
        <f t="shared" si="0"/>
        <v>M</v>
      </c>
      <c r="M8" s="91" t="str">
        <f t="shared" si="0"/>
        <v>J</v>
      </c>
      <c r="N8" s="91" t="str">
        <f t="shared" si="0"/>
        <v>V</v>
      </c>
      <c r="O8" s="91" t="str">
        <f t="shared" si="0"/>
        <v>S</v>
      </c>
      <c r="P8" s="91" t="str">
        <f t="shared" si="0"/>
        <v>D</v>
      </c>
      <c r="Q8" s="91" t="str">
        <f t="shared" si="0"/>
        <v>L</v>
      </c>
      <c r="R8" s="84" t="str">
        <f t="shared" si="0"/>
        <v>M</v>
      </c>
      <c r="S8" s="84" t="str">
        <f t="shared" si="0"/>
        <v>M</v>
      </c>
      <c r="T8" s="84" t="str">
        <f t="shared" si="0"/>
        <v>J</v>
      </c>
      <c r="U8" s="84" t="str">
        <f t="shared" si="0"/>
        <v>V</v>
      </c>
      <c r="V8" s="84" t="str">
        <f t="shared" si="0"/>
        <v>S</v>
      </c>
      <c r="W8" s="84" t="str">
        <f t="shared" si="0"/>
        <v>D</v>
      </c>
      <c r="X8" s="84" t="str">
        <f t="shared" si="0"/>
        <v>L</v>
      </c>
      <c r="Y8" s="84" t="str">
        <f t="shared" si="0"/>
        <v>M</v>
      </c>
      <c r="Z8" s="84" t="str">
        <f t="shared" si="0"/>
        <v>M</v>
      </c>
      <c r="AA8" s="84" t="str">
        <f t="shared" si="0"/>
        <v>J</v>
      </c>
      <c r="AB8" s="84" t="str">
        <f t="shared" si="0"/>
        <v>V</v>
      </c>
      <c r="AC8" s="84" t="str">
        <f t="shared" si="0"/>
        <v>S</v>
      </c>
      <c r="AD8" s="84" t="str">
        <f t="shared" si="0"/>
        <v>D</v>
      </c>
      <c r="AE8" s="84" t="str">
        <f t="shared" si="0"/>
        <v>L</v>
      </c>
      <c r="AF8" s="84" t="str">
        <f t="shared" si="0"/>
        <v>M</v>
      </c>
      <c r="AG8" s="84" t="str">
        <f t="shared" si="0"/>
        <v>M</v>
      </c>
      <c r="AH8" s="84" t="str">
        <f t="shared" si="0"/>
        <v>J</v>
      </c>
      <c r="AI8" s="84" t="str">
        <f t="shared" si="0"/>
        <v>V</v>
      </c>
      <c r="AJ8" s="84" t="str">
        <f t="shared" si="0"/>
        <v>S</v>
      </c>
      <c r="AK8" s="84" t="str">
        <f t="shared" si="0"/>
        <v>D</v>
      </c>
      <c r="AL8" s="84" t="str">
        <f t="shared" si="0"/>
        <v>L</v>
      </c>
      <c r="AM8" s="87" t="s">
        <v>7</v>
      </c>
      <c r="AN8" s="88" t="s">
        <v>8</v>
      </c>
      <c r="AO8" s="88" t="s">
        <v>9</v>
      </c>
      <c r="AP8" s="88" t="s">
        <v>10</v>
      </c>
      <c r="AQ8" s="88" t="s">
        <v>11</v>
      </c>
      <c r="AR8" s="88" t="s">
        <v>12</v>
      </c>
      <c r="AS8" s="88" t="s">
        <v>13</v>
      </c>
      <c r="AT8" s="88" t="s">
        <v>14</v>
      </c>
      <c r="AU8" s="88" t="s">
        <v>15</v>
      </c>
      <c r="AV8" s="88" t="s">
        <v>16</v>
      </c>
      <c r="AW8" s="88" t="s">
        <v>17</v>
      </c>
      <c r="AX8" s="88" t="s">
        <v>18</v>
      </c>
      <c r="AY8" s="88" t="s">
        <v>19</v>
      </c>
      <c r="AZ8" s="88" t="s">
        <v>20</v>
      </c>
      <c r="BA8" s="88" t="s">
        <v>21</v>
      </c>
    </row>
    <row r="9" spans="2:53" s="32" customFormat="1" ht="21">
      <c r="B9" s="95" t="s">
        <v>22</v>
      </c>
      <c r="C9" s="95" t="s">
        <v>23</v>
      </c>
      <c r="D9" s="95" t="s">
        <v>24</v>
      </c>
      <c r="E9" s="95" t="s">
        <v>25</v>
      </c>
      <c r="F9" s="95" t="s">
        <v>26</v>
      </c>
      <c r="G9" s="110" t="s">
        <v>27</v>
      </c>
      <c r="H9" s="108" t="s">
        <v>28</v>
      </c>
      <c r="I9" s="93" t="s">
        <v>29</v>
      </c>
      <c r="J9" s="93" t="s">
        <v>30</v>
      </c>
      <c r="K9" s="93" t="s">
        <v>31</v>
      </c>
      <c r="L9" s="93" t="s">
        <v>32</v>
      </c>
      <c r="M9" s="93" t="s">
        <v>33</v>
      </c>
      <c r="N9" s="93" t="s">
        <v>34</v>
      </c>
      <c r="O9" s="93" t="s">
        <v>35</v>
      </c>
      <c r="P9" s="93" t="s">
        <v>36</v>
      </c>
      <c r="Q9" s="93" t="s">
        <v>37</v>
      </c>
      <c r="R9" s="94" t="s">
        <v>38</v>
      </c>
      <c r="S9" s="94" t="s">
        <v>39</v>
      </c>
      <c r="T9" s="94" t="s">
        <v>40</v>
      </c>
      <c r="U9" s="94" t="s">
        <v>41</v>
      </c>
      <c r="V9" s="94" t="s">
        <v>42</v>
      </c>
      <c r="W9" s="94" t="s">
        <v>43</v>
      </c>
      <c r="X9" s="94" t="s">
        <v>44</v>
      </c>
      <c r="Y9" s="94" t="s">
        <v>45</v>
      </c>
      <c r="Z9" s="94" t="s">
        <v>46</v>
      </c>
      <c r="AA9" s="94" t="s">
        <v>47</v>
      </c>
      <c r="AB9" s="94" t="s">
        <v>48</v>
      </c>
      <c r="AC9" s="94" t="s">
        <v>49</v>
      </c>
      <c r="AD9" s="94" t="s">
        <v>50</v>
      </c>
      <c r="AE9" s="94" t="s">
        <v>51</v>
      </c>
      <c r="AF9" s="94" t="s">
        <v>52</v>
      </c>
      <c r="AG9" s="94" t="s">
        <v>53</v>
      </c>
      <c r="AH9" s="94" t="s">
        <v>54</v>
      </c>
      <c r="AI9" s="94" t="s">
        <v>55</v>
      </c>
      <c r="AJ9" s="94" t="s">
        <v>56</v>
      </c>
      <c r="AK9" s="94" t="s">
        <v>57</v>
      </c>
      <c r="AL9" s="94" t="s">
        <v>58</v>
      </c>
      <c r="AM9" s="89" t="s">
        <v>59</v>
      </c>
      <c r="AN9" s="89" t="s">
        <v>60</v>
      </c>
      <c r="AO9" s="89" t="s">
        <v>61</v>
      </c>
      <c r="AP9" s="89" t="s">
        <v>62</v>
      </c>
      <c r="AQ9" s="89" t="s">
        <v>63</v>
      </c>
      <c r="AR9" s="89" t="s">
        <v>64</v>
      </c>
      <c r="AS9" s="89" t="s">
        <v>65</v>
      </c>
      <c r="AT9" s="89" t="s">
        <v>66</v>
      </c>
      <c r="AU9" s="89" t="s">
        <v>67</v>
      </c>
      <c r="AV9" s="89" t="s">
        <v>68</v>
      </c>
      <c r="AW9" s="89" t="s">
        <v>69</v>
      </c>
      <c r="AX9" s="89" t="s">
        <v>70</v>
      </c>
      <c r="AY9" s="90" t="s">
        <v>71</v>
      </c>
      <c r="AZ9" s="90" t="s">
        <v>72</v>
      </c>
      <c r="BA9" s="90" t="s">
        <v>73</v>
      </c>
    </row>
    <row r="10" spans="2:53" ht="18">
      <c r="B10" s="40"/>
      <c r="C10" s="40"/>
      <c r="D10" s="96"/>
      <c r="E10" s="40"/>
      <c r="F10" s="96"/>
      <c r="G10" s="96"/>
      <c r="H10" s="109"/>
      <c r="I10" s="109"/>
      <c r="J10" s="109"/>
      <c r="K10" s="109"/>
      <c r="L10" s="109"/>
      <c r="M10" s="109"/>
      <c r="N10" s="109"/>
      <c r="O10" s="109"/>
      <c r="P10" s="109"/>
      <c r="Q10" s="109"/>
      <c r="R10" s="92"/>
      <c r="S10" s="92"/>
      <c r="T10" s="92"/>
      <c r="U10" s="92"/>
      <c r="V10" s="92"/>
      <c r="W10" s="92"/>
      <c r="X10" s="92"/>
      <c r="Y10" s="92"/>
      <c r="Z10" s="92"/>
      <c r="AA10" s="92"/>
      <c r="AB10" s="92"/>
      <c r="AC10" s="92"/>
      <c r="AD10" s="92"/>
      <c r="AE10" s="92"/>
      <c r="AF10" s="92"/>
      <c r="AG10" s="92"/>
      <c r="AH10" s="92"/>
      <c r="AI10" s="92"/>
      <c r="AJ10" s="92"/>
      <c r="AK10" s="92"/>
      <c r="AL10" s="92"/>
      <c r="AM10" s="2">
        <f>COUNTIF(H10:AL10,"A")</f>
        <v>0</v>
      </c>
      <c r="AN10" s="3">
        <f>COUNTIF(H10:AL10,"F")</f>
        <v>0</v>
      </c>
      <c r="AO10" s="4">
        <f>COUNTIF(H10:AL10,"D")</f>
        <v>0</v>
      </c>
      <c r="AP10" s="5">
        <f>COUNTIF(H10:AL10,"V")</f>
        <v>0</v>
      </c>
      <c r="AQ10" s="6">
        <f>COUNTIF(H10:AL10,"DM")</f>
        <v>0</v>
      </c>
      <c r="AR10" s="7">
        <f>COUNTIF(H10:AL10,"AM")</f>
        <v>0</v>
      </c>
      <c r="AS10" s="8">
        <f>COUNTIF(H10:AL10,"LCG")</f>
        <v>0</v>
      </c>
      <c r="AT10" s="9">
        <f>COUNTIF(H10:AL10,"LSG")</f>
        <v>0</v>
      </c>
      <c r="AU10" s="3">
        <f>COUNTIF(H10:AL10,"LPP")</f>
        <v>0</v>
      </c>
      <c r="AV10" s="10">
        <f>COUNTIF(H10:AL10,"S")</f>
        <v>0</v>
      </c>
      <c r="AW10" s="11">
        <f>COUNTIF(H10:AL10,"SP")</f>
        <v>0</v>
      </c>
      <c r="AX10" s="12">
        <f>COUNTIF(H10:AL10,"CE")</f>
        <v>0</v>
      </c>
      <c r="AY10" s="13">
        <f>COUNTIF(H10:AL10,"FT")</f>
        <v>0</v>
      </c>
      <c r="AZ10" s="104">
        <f>COUNTIF(H10:AL10,"FD")</f>
        <v>0</v>
      </c>
      <c r="BA10" s="103">
        <f>COUNTIF(H10:AL10,"VA")</f>
        <v>0</v>
      </c>
    </row>
    <row r="11" spans="2:53" ht="18">
      <c r="B11" s="97"/>
      <c r="C11" s="41"/>
      <c r="D11" s="96"/>
      <c r="E11" s="40"/>
      <c r="F11" s="98"/>
      <c r="G11" s="96"/>
      <c r="H11" s="109"/>
      <c r="I11" s="109"/>
      <c r="J11" s="109"/>
      <c r="K11" s="109"/>
      <c r="L11" s="109"/>
      <c r="M11" s="109"/>
      <c r="N11" s="109"/>
      <c r="O11" s="109"/>
      <c r="P11" s="109"/>
      <c r="Q11" s="109"/>
      <c r="R11" s="92"/>
      <c r="S11" s="92"/>
      <c r="T11" s="92"/>
      <c r="U11" s="92"/>
      <c r="V11" s="92"/>
      <c r="W11" s="92"/>
      <c r="X11" s="92"/>
      <c r="Y11" s="92"/>
      <c r="Z11" s="92"/>
      <c r="AA11" s="92"/>
      <c r="AB11" s="92"/>
      <c r="AC11" s="92"/>
      <c r="AD11" s="92"/>
      <c r="AE11" s="92"/>
      <c r="AF11" s="92"/>
      <c r="AG11" s="92"/>
      <c r="AH11" s="92"/>
      <c r="AI11" s="92"/>
      <c r="AJ11" s="92"/>
      <c r="AK11" s="92"/>
      <c r="AL11" s="92"/>
      <c r="AM11" s="2">
        <f t="shared" ref="AM11:AM29" si="1">COUNTIF(H11:AL11,"A")</f>
        <v>0</v>
      </c>
      <c r="AN11" s="3">
        <f t="shared" ref="AN11:AN29" si="2">COUNTIF(H11:AL11,"F")</f>
        <v>0</v>
      </c>
      <c r="AO11" s="4">
        <f t="shared" ref="AO11:AO29" si="3">COUNTIF(H11:AL11,"D")</f>
        <v>0</v>
      </c>
      <c r="AP11" s="5">
        <f t="shared" ref="AP11:AP29" si="4">COUNTIF(H11:AL11,"V")</f>
        <v>0</v>
      </c>
      <c r="AQ11" s="6">
        <f t="shared" ref="AQ11:AQ29" si="5">COUNTIF(H11:AL11,"DM")</f>
        <v>0</v>
      </c>
      <c r="AR11" s="7">
        <f t="shared" ref="AR11:AR29" si="6">COUNTIF(H11:AL11,"AM")</f>
        <v>0</v>
      </c>
      <c r="AS11" s="8">
        <f t="shared" ref="AS11:AS29" si="7">COUNTIF(H11:AL11,"LCG")</f>
        <v>0</v>
      </c>
      <c r="AT11" s="9">
        <f t="shared" ref="AT11:AT29" si="8">COUNTIF(H11:AL11,"LSG")</f>
        <v>0</v>
      </c>
      <c r="AU11" s="3">
        <f t="shared" ref="AU11:AU29" si="9">COUNTIF(H11:AL11,"LPP")</f>
        <v>0</v>
      </c>
      <c r="AV11" s="10">
        <f t="shared" ref="AV11:AV29" si="10">COUNTIF(H11:AL11,"S")</f>
        <v>0</v>
      </c>
      <c r="AW11" s="11">
        <f t="shared" ref="AW11:AW29" si="11">COUNTIF(H11:AL11,"SP")</f>
        <v>0</v>
      </c>
      <c r="AX11" s="12">
        <f t="shared" ref="AX11:AX29" si="12">COUNTIF(H11:AL11,"CE")</f>
        <v>0</v>
      </c>
      <c r="AY11" s="13">
        <f t="shared" ref="AY11:AY30" si="13">COUNTIF(H11:AL11,"FT")</f>
        <v>0</v>
      </c>
      <c r="AZ11" s="104">
        <f>COUNTIF(H11:AL11,"FD")</f>
        <v>0</v>
      </c>
      <c r="BA11" s="103">
        <f>COUNTIF(H11:AL11,"VA")</f>
        <v>0</v>
      </c>
    </row>
    <row r="12" spans="2:53" ht="18">
      <c r="B12" s="15"/>
      <c r="C12" s="15"/>
      <c r="D12" s="96"/>
      <c r="E12" s="40"/>
      <c r="F12" s="98"/>
      <c r="G12" s="96"/>
      <c r="H12" s="109"/>
      <c r="I12" s="109"/>
      <c r="J12" s="109"/>
      <c r="K12" s="109"/>
      <c r="L12" s="109"/>
      <c r="M12" s="109"/>
      <c r="N12" s="109"/>
      <c r="O12" s="109"/>
      <c r="P12" s="109"/>
      <c r="Q12" s="109"/>
      <c r="R12" s="92"/>
      <c r="S12" s="92"/>
      <c r="T12" s="92"/>
      <c r="U12" s="92"/>
      <c r="V12" s="92"/>
      <c r="W12" s="92"/>
      <c r="X12" s="92"/>
      <c r="Y12" s="92"/>
      <c r="Z12" s="92"/>
      <c r="AA12" s="92"/>
      <c r="AB12" s="92"/>
      <c r="AC12" s="92"/>
      <c r="AD12" s="92"/>
      <c r="AE12" s="92"/>
      <c r="AF12" s="92"/>
      <c r="AG12" s="92"/>
      <c r="AH12" s="92"/>
      <c r="AI12" s="92"/>
      <c r="AJ12" s="92"/>
      <c r="AK12" s="92"/>
      <c r="AL12" s="92"/>
      <c r="AM12" s="2">
        <f t="shared" si="1"/>
        <v>0</v>
      </c>
      <c r="AN12" s="3">
        <f t="shared" si="2"/>
        <v>0</v>
      </c>
      <c r="AO12" s="4">
        <f t="shared" si="3"/>
        <v>0</v>
      </c>
      <c r="AP12" s="5">
        <f t="shared" si="4"/>
        <v>0</v>
      </c>
      <c r="AQ12" s="6">
        <f t="shared" si="5"/>
        <v>0</v>
      </c>
      <c r="AR12" s="7">
        <f t="shared" si="6"/>
        <v>0</v>
      </c>
      <c r="AS12" s="8">
        <f t="shared" si="7"/>
        <v>0</v>
      </c>
      <c r="AT12" s="9">
        <f t="shared" si="8"/>
        <v>0</v>
      </c>
      <c r="AU12" s="3">
        <f t="shared" si="9"/>
        <v>0</v>
      </c>
      <c r="AV12" s="10">
        <f t="shared" si="10"/>
        <v>0</v>
      </c>
      <c r="AW12" s="11">
        <f t="shared" si="11"/>
        <v>0</v>
      </c>
      <c r="AX12" s="12">
        <f t="shared" si="12"/>
        <v>0</v>
      </c>
      <c r="AY12" s="13">
        <f t="shared" si="13"/>
        <v>0</v>
      </c>
      <c r="AZ12" s="104">
        <f t="shared" ref="AZ12:AZ29" si="14">COUNTIF(H12:AL12,"FD")</f>
        <v>0</v>
      </c>
      <c r="BA12" s="103">
        <f>COUNTIF(H12:AL12,"VA")</f>
        <v>0</v>
      </c>
    </row>
    <row r="13" spans="2:53" ht="18">
      <c r="B13" s="99"/>
      <c r="C13" s="42"/>
      <c r="D13" s="96"/>
      <c r="E13" s="40"/>
      <c r="F13" s="98"/>
      <c r="G13" s="96"/>
      <c r="H13" s="109"/>
      <c r="I13" s="109"/>
      <c r="J13" s="109"/>
      <c r="K13" s="109"/>
      <c r="L13" s="109"/>
      <c r="M13" s="109"/>
      <c r="N13" s="109"/>
      <c r="O13" s="109"/>
      <c r="P13" s="109"/>
      <c r="Q13" s="109"/>
      <c r="R13" s="92"/>
      <c r="S13" s="92"/>
      <c r="T13" s="92"/>
      <c r="U13" s="92"/>
      <c r="V13" s="92"/>
      <c r="W13" s="92"/>
      <c r="X13" s="92"/>
      <c r="Y13" s="92"/>
      <c r="Z13" s="92"/>
      <c r="AA13" s="92"/>
      <c r="AB13" s="92"/>
      <c r="AC13" s="92"/>
      <c r="AD13" s="92"/>
      <c r="AE13" s="92"/>
      <c r="AF13" s="92"/>
      <c r="AG13" s="92"/>
      <c r="AH13" s="92"/>
      <c r="AI13" s="92"/>
      <c r="AJ13" s="92"/>
      <c r="AK13" s="92"/>
      <c r="AL13" s="92"/>
      <c r="AM13" s="2">
        <f t="shared" si="1"/>
        <v>0</v>
      </c>
      <c r="AN13" s="3">
        <f t="shared" si="2"/>
        <v>0</v>
      </c>
      <c r="AO13" s="4">
        <f t="shared" si="3"/>
        <v>0</v>
      </c>
      <c r="AP13" s="5">
        <f t="shared" si="4"/>
        <v>0</v>
      </c>
      <c r="AQ13" s="6">
        <f t="shared" si="5"/>
        <v>0</v>
      </c>
      <c r="AR13" s="7">
        <f t="shared" si="6"/>
        <v>0</v>
      </c>
      <c r="AS13" s="8">
        <f t="shared" si="7"/>
        <v>0</v>
      </c>
      <c r="AT13" s="9">
        <f t="shared" si="8"/>
        <v>0</v>
      </c>
      <c r="AU13" s="3">
        <f t="shared" si="9"/>
        <v>0</v>
      </c>
      <c r="AV13" s="10">
        <f t="shared" si="10"/>
        <v>0</v>
      </c>
      <c r="AW13" s="11">
        <f t="shared" si="11"/>
        <v>0</v>
      </c>
      <c r="AX13" s="12">
        <f t="shared" si="12"/>
        <v>0</v>
      </c>
      <c r="AY13" s="13">
        <f t="shared" si="13"/>
        <v>0</v>
      </c>
      <c r="AZ13" s="104">
        <f t="shared" si="14"/>
        <v>0</v>
      </c>
      <c r="BA13" s="103">
        <f>COUNTIF(H13:AL13,"VA")</f>
        <v>0</v>
      </c>
    </row>
    <row r="14" spans="2:53" ht="18">
      <c r="B14" s="100"/>
      <c r="C14" s="43"/>
      <c r="D14" s="96"/>
      <c r="E14" s="40"/>
      <c r="F14" s="98"/>
      <c r="G14" s="96"/>
      <c r="H14" s="109"/>
      <c r="I14" s="109"/>
      <c r="J14" s="109"/>
      <c r="K14" s="109"/>
      <c r="L14" s="109"/>
      <c r="M14" s="109"/>
      <c r="N14" s="109"/>
      <c r="O14" s="109"/>
      <c r="P14" s="109"/>
      <c r="Q14" s="109"/>
      <c r="R14" s="92"/>
      <c r="S14" s="92"/>
      <c r="T14" s="92"/>
      <c r="U14" s="92"/>
      <c r="V14" s="92"/>
      <c r="W14" s="92"/>
      <c r="X14" s="92"/>
      <c r="Y14" s="92"/>
      <c r="Z14" s="92"/>
      <c r="AA14" s="92"/>
      <c r="AB14" s="92"/>
      <c r="AC14" s="92"/>
      <c r="AD14" s="92"/>
      <c r="AE14" s="92"/>
      <c r="AF14" s="92"/>
      <c r="AG14" s="92"/>
      <c r="AH14" s="92"/>
      <c r="AI14" s="92"/>
      <c r="AJ14" s="92"/>
      <c r="AK14" s="92"/>
      <c r="AL14" s="92"/>
      <c r="AM14" s="2">
        <f t="shared" si="1"/>
        <v>0</v>
      </c>
      <c r="AN14" s="3">
        <f t="shared" si="2"/>
        <v>0</v>
      </c>
      <c r="AO14" s="4">
        <f t="shared" si="3"/>
        <v>0</v>
      </c>
      <c r="AP14" s="5">
        <f t="shared" si="4"/>
        <v>0</v>
      </c>
      <c r="AQ14" s="6">
        <f t="shared" si="5"/>
        <v>0</v>
      </c>
      <c r="AR14" s="7">
        <f t="shared" si="6"/>
        <v>0</v>
      </c>
      <c r="AS14" s="8">
        <f t="shared" si="7"/>
        <v>0</v>
      </c>
      <c r="AT14" s="9">
        <f t="shared" si="8"/>
        <v>0</v>
      </c>
      <c r="AU14" s="3">
        <f t="shared" si="9"/>
        <v>0</v>
      </c>
      <c r="AV14" s="10">
        <f t="shared" si="10"/>
        <v>0</v>
      </c>
      <c r="AW14" s="11">
        <f t="shared" si="11"/>
        <v>0</v>
      </c>
      <c r="AX14" s="12">
        <f t="shared" si="12"/>
        <v>0</v>
      </c>
      <c r="AY14" s="13">
        <f t="shared" si="13"/>
        <v>0</v>
      </c>
      <c r="AZ14" s="104">
        <f t="shared" si="14"/>
        <v>0</v>
      </c>
      <c r="BA14" s="103">
        <f>COUNTIF(H14:AL14,"VA")</f>
        <v>0</v>
      </c>
    </row>
    <row r="15" spans="2:53" ht="18">
      <c r="B15" s="44"/>
      <c r="C15" s="44"/>
      <c r="D15" s="96"/>
      <c r="E15" s="40"/>
      <c r="F15" s="98"/>
      <c r="G15" s="96"/>
      <c r="H15" s="109"/>
      <c r="I15" s="109"/>
      <c r="J15" s="109"/>
      <c r="K15" s="109"/>
      <c r="L15" s="109"/>
      <c r="M15" s="109"/>
      <c r="N15" s="109"/>
      <c r="O15" s="109"/>
      <c r="P15" s="109"/>
      <c r="Q15" s="109"/>
      <c r="R15" s="92"/>
      <c r="S15" s="92"/>
      <c r="T15" s="92"/>
      <c r="U15" s="92"/>
      <c r="V15" s="92"/>
      <c r="W15" s="92"/>
      <c r="X15" s="92"/>
      <c r="Y15" s="92"/>
      <c r="Z15" s="92"/>
      <c r="AA15" s="92"/>
      <c r="AB15" s="92"/>
      <c r="AC15" s="92"/>
      <c r="AD15" s="92"/>
      <c r="AE15" s="92"/>
      <c r="AF15" s="92"/>
      <c r="AG15" s="92"/>
      <c r="AH15" s="92"/>
      <c r="AI15" s="92"/>
      <c r="AJ15" s="92"/>
      <c r="AK15" s="92"/>
      <c r="AL15" s="92"/>
      <c r="AM15" s="2">
        <f t="shared" si="1"/>
        <v>0</v>
      </c>
      <c r="AN15" s="3">
        <f t="shared" si="2"/>
        <v>0</v>
      </c>
      <c r="AO15" s="4">
        <f t="shared" si="3"/>
        <v>0</v>
      </c>
      <c r="AP15" s="5">
        <f t="shared" si="4"/>
        <v>0</v>
      </c>
      <c r="AQ15" s="6">
        <f t="shared" si="5"/>
        <v>0</v>
      </c>
      <c r="AR15" s="7">
        <f t="shared" si="6"/>
        <v>0</v>
      </c>
      <c r="AS15" s="8">
        <f t="shared" si="7"/>
        <v>0</v>
      </c>
      <c r="AT15" s="9">
        <f t="shared" si="8"/>
        <v>0</v>
      </c>
      <c r="AU15" s="3">
        <f t="shared" si="9"/>
        <v>0</v>
      </c>
      <c r="AV15" s="10">
        <f t="shared" si="10"/>
        <v>0</v>
      </c>
      <c r="AW15" s="11">
        <f t="shared" si="11"/>
        <v>0</v>
      </c>
      <c r="AX15" s="12">
        <f t="shared" si="12"/>
        <v>0</v>
      </c>
      <c r="AY15" s="13">
        <f t="shared" si="13"/>
        <v>0</v>
      </c>
      <c r="AZ15" s="104">
        <f t="shared" si="14"/>
        <v>0</v>
      </c>
      <c r="BA15" s="103">
        <f>COUNTIF(H15:AL15,"VA")</f>
        <v>0</v>
      </c>
    </row>
    <row r="16" spans="2:53" ht="18">
      <c r="B16" s="100"/>
      <c r="C16" s="45"/>
      <c r="D16" s="96"/>
      <c r="E16" s="40"/>
      <c r="F16" s="98"/>
      <c r="G16" s="96"/>
      <c r="H16" s="109"/>
      <c r="I16" s="109"/>
      <c r="J16" s="109"/>
      <c r="K16" s="109"/>
      <c r="L16" s="109"/>
      <c r="M16" s="109"/>
      <c r="N16" s="109"/>
      <c r="O16" s="109"/>
      <c r="P16" s="109"/>
      <c r="Q16" s="109"/>
      <c r="R16" s="92"/>
      <c r="S16" s="92"/>
      <c r="T16" s="92"/>
      <c r="U16" s="92"/>
      <c r="V16" s="92"/>
      <c r="W16" s="92"/>
      <c r="X16" s="92"/>
      <c r="Y16" s="92"/>
      <c r="Z16" s="92"/>
      <c r="AA16" s="92"/>
      <c r="AB16" s="92"/>
      <c r="AC16" s="92"/>
      <c r="AD16" s="92"/>
      <c r="AE16" s="92"/>
      <c r="AF16" s="92"/>
      <c r="AG16" s="92"/>
      <c r="AH16" s="92"/>
      <c r="AI16" s="92"/>
      <c r="AJ16" s="92"/>
      <c r="AK16" s="92"/>
      <c r="AL16" s="92"/>
      <c r="AM16" s="2">
        <f t="shared" si="1"/>
        <v>0</v>
      </c>
      <c r="AN16" s="3">
        <f t="shared" si="2"/>
        <v>0</v>
      </c>
      <c r="AO16" s="4">
        <f t="shared" si="3"/>
        <v>0</v>
      </c>
      <c r="AP16" s="5">
        <f t="shared" si="4"/>
        <v>0</v>
      </c>
      <c r="AQ16" s="6">
        <f t="shared" si="5"/>
        <v>0</v>
      </c>
      <c r="AR16" s="7">
        <f t="shared" si="6"/>
        <v>0</v>
      </c>
      <c r="AS16" s="8">
        <f t="shared" si="7"/>
        <v>0</v>
      </c>
      <c r="AT16" s="9">
        <f t="shared" si="8"/>
        <v>0</v>
      </c>
      <c r="AU16" s="3">
        <f t="shared" si="9"/>
        <v>0</v>
      </c>
      <c r="AV16" s="10">
        <f t="shared" si="10"/>
        <v>0</v>
      </c>
      <c r="AW16" s="11">
        <f t="shared" si="11"/>
        <v>0</v>
      </c>
      <c r="AX16" s="12">
        <f t="shared" si="12"/>
        <v>0</v>
      </c>
      <c r="AY16" s="13">
        <f t="shared" si="13"/>
        <v>0</v>
      </c>
      <c r="AZ16" s="104">
        <f t="shared" si="14"/>
        <v>0</v>
      </c>
      <c r="BA16" s="103">
        <f>COUNTIF(H16:AL16,"VA")</f>
        <v>0</v>
      </c>
    </row>
    <row r="17" spans="2:53" ht="18">
      <c r="B17" s="99"/>
      <c r="C17" s="41"/>
      <c r="D17" s="96"/>
      <c r="E17" s="40"/>
      <c r="F17" s="98"/>
      <c r="G17" s="96"/>
      <c r="H17" s="109"/>
      <c r="I17" s="109"/>
      <c r="J17" s="109"/>
      <c r="K17" s="109"/>
      <c r="L17" s="109"/>
      <c r="M17" s="109"/>
      <c r="N17" s="109"/>
      <c r="O17" s="109"/>
      <c r="P17" s="109"/>
      <c r="Q17" s="109"/>
      <c r="R17" s="92"/>
      <c r="S17" s="92"/>
      <c r="T17" s="92"/>
      <c r="U17" s="92"/>
      <c r="V17" s="92"/>
      <c r="W17" s="92"/>
      <c r="X17" s="92"/>
      <c r="Y17" s="92"/>
      <c r="Z17" s="92"/>
      <c r="AA17" s="92"/>
      <c r="AB17" s="92"/>
      <c r="AC17" s="92"/>
      <c r="AD17" s="92"/>
      <c r="AE17" s="92"/>
      <c r="AF17" s="92"/>
      <c r="AG17" s="92"/>
      <c r="AH17" s="92"/>
      <c r="AI17" s="92"/>
      <c r="AJ17" s="92"/>
      <c r="AK17" s="92"/>
      <c r="AL17" s="92"/>
      <c r="AM17" s="2">
        <f t="shared" si="1"/>
        <v>0</v>
      </c>
      <c r="AN17" s="3">
        <f t="shared" si="2"/>
        <v>0</v>
      </c>
      <c r="AO17" s="4">
        <f t="shared" si="3"/>
        <v>0</v>
      </c>
      <c r="AP17" s="5">
        <f t="shared" si="4"/>
        <v>0</v>
      </c>
      <c r="AQ17" s="6">
        <f t="shared" si="5"/>
        <v>0</v>
      </c>
      <c r="AR17" s="7">
        <f t="shared" si="6"/>
        <v>0</v>
      </c>
      <c r="AS17" s="8">
        <f t="shared" si="7"/>
        <v>0</v>
      </c>
      <c r="AT17" s="9">
        <f t="shared" si="8"/>
        <v>0</v>
      </c>
      <c r="AU17" s="3">
        <f t="shared" si="9"/>
        <v>0</v>
      </c>
      <c r="AV17" s="10">
        <f t="shared" si="10"/>
        <v>0</v>
      </c>
      <c r="AW17" s="11">
        <f t="shared" si="11"/>
        <v>0</v>
      </c>
      <c r="AX17" s="12">
        <f t="shared" si="12"/>
        <v>0</v>
      </c>
      <c r="AY17" s="13">
        <f t="shared" si="13"/>
        <v>0</v>
      </c>
      <c r="AZ17" s="104">
        <f t="shared" si="14"/>
        <v>0</v>
      </c>
      <c r="BA17" s="103">
        <f>COUNTIF(H17:AL17,"VA")</f>
        <v>0</v>
      </c>
    </row>
    <row r="18" spans="2:53" ht="18">
      <c r="B18" s="97"/>
      <c r="C18" s="41"/>
      <c r="D18" s="96"/>
      <c r="E18" s="40"/>
      <c r="F18" s="98"/>
      <c r="G18" s="96"/>
      <c r="H18" s="109"/>
      <c r="I18" s="109"/>
      <c r="J18" s="109"/>
      <c r="K18" s="109"/>
      <c r="L18" s="109"/>
      <c r="M18" s="109"/>
      <c r="N18" s="109"/>
      <c r="O18" s="109"/>
      <c r="P18" s="109"/>
      <c r="Q18" s="109"/>
      <c r="R18" s="92"/>
      <c r="S18" s="92"/>
      <c r="T18" s="92"/>
      <c r="U18" s="92"/>
      <c r="V18" s="92"/>
      <c r="W18" s="92"/>
      <c r="X18" s="92"/>
      <c r="Y18" s="92"/>
      <c r="Z18" s="92"/>
      <c r="AA18" s="92"/>
      <c r="AB18" s="92"/>
      <c r="AC18" s="92"/>
      <c r="AD18" s="92"/>
      <c r="AE18" s="92"/>
      <c r="AF18" s="92"/>
      <c r="AG18" s="92"/>
      <c r="AH18" s="92"/>
      <c r="AI18" s="92"/>
      <c r="AJ18" s="92"/>
      <c r="AK18" s="92"/>
      <c r="AL18" s="92"/>
      <c r="AM18" s="2">
        <f t="shared" si="1"/>
        <v>0</v>
      </c>
      <c r="AN18" s="3">
        <f t="shared" si="2"/>
        <v>0</v>
      </c>
      <c r="AO18" s="4">
        <f t="shared" si="3"/>
        <v>0</v>
      </c>
      <c r="AP18" s="5">
        <f t="shared" si="4"/>
        <v>0</v>
      </c>
      <c r="AQ18" s="6">
        <f t="shared" si="5"/>
        <v>0</v>
      </c>
      <c r="AR18" s="7">
        <f t="shared" si="6"/>
        <v>0</v>
      </c>
      <c r="AS18" s="8">
        <f t="shared" si="7"/>
        <v>0</v>
      </c>
      <c r="AT18" s="9">
        <f t="shared" si="8"/>
        <v>0</v>
      </c>
      <c r="AU18" s="3">
        <f t="shared" si="9"/>
        <v>0</v>
      </c>
      <c r="AV18" s="10">
        <f t="shared" si="10"/>
        <v>0</v>
      </c>
      <c r="AW18" s="11">
        <f t="shared" si="11"/>
        <v>0</v>
      </c>
      <c r="AX18" s="12">
        <f t="shared" si="12"/>
        <v>0</v>
      </c>
      <c r="AY18" s="13">
        <f t="shared" si="13"/>
        <v>0</v>
      </c>
      <c r="AZ18" s="104">
        <f t="shared" si="14"/>
        <v>0</v>
      </c>
      <c r="BA18" s="103">
        <f>COUNTIF(H18:AL18,"VA")</f>
        <v>0</v>
      </c>
    </row>
    <row r="19" spans="2:53" ht="18">
      <c r="B19" s="97"/>
      <c r="C19" s="41"/>
      <c r="D19" s="96"/>
      <c r="E19" s="40"/>
      <c r="F19" s="98"/>
      <c r="G19" s="96"/>
      <c r="H19" s="109"/>
      <c r="I19" s="109"/>
      <c r="J19" s="109"/>
      <c r="K19" s="109"/>
      <c r="L19" s="109"/>
      <c r="M19" s="109"/>
      <c r="N19" s="109"/>
      <c r="O19" s="109"/>
      <c r="P19" s="109"/>
      <c r="Q19" s="109"/>
      <c r="R19" s="92"/>
      <c r="S19" s="92"/>
      <c r="T19" s="92"/>
      <c r="U19" s="92"/>
      <c r="V19" s="92"/>
      <c r="W19" s="92"/>
      <c r="X19" s="92"/>
      <c r="Y19" s="92"/>
      <c r="Z19" s="92"/>
      <c r="AA19" s="92"/>
      <c r="AB19" s="92"/>
      <c r="AC19" s="92"/>
      <c r="AD19" s="92"/>
      <c r="AE19" s="92"/>
      <c r="AF19" s="92"/>
      <c r="AG19" s="92"/>
      <c r="AH19" s="92"/>
      <c r="AI19" s="92"/>
      <c r="AJ19" s="92"/>
      <c r="AK19" s="92"/>
      <c r="AL19" s="92"/>
      <c r="AM19" s="2">
        <f t="shared" si="1"/>
        <v>0</v>
      </c>
      <c r="AN19" s="3">
        <f t="shared" si="2"/>
        <v>0</v>
      </c>
      <c r="AO19" s="4">
        <f t="shared" si="3"/>
        <v>0</v>
      </c>
      <c r="AP19" s="5">
        <f t="shared" si="4"/>
        <v>0</v>
      </c>
      <c r="AQ19" s="6">
        <f t="shared" si="5"/>
        <v>0</v>
      </c>
      <c r="AR19" s="7">
        <f t="shared" si="6"/>
        <v>0</v>
      </c>
      <c r="AS19" s="8">
        <f t="shared" si="7"/>
        <v>0</v>
      </c>
      <c r="AT19" s="9">
        <f t="shared" si="8"/>
        <v>0</v>
      </c>
      <c r="AU19" s="3">
        <f t="shared" si="9"/>
        <v>0</v>
      </c>
      <c r="AV19" s="10">
        <f t="shared" si="10"/>
        <v>0</v>
      </c>
      <c r="AW19" s="11">
        <f t="shared" si="11"/>
        <v>0</v>
      </c>
      <c r="AX19" s="12">
        <f t="shared" si="12"/>
        <v>0</v>
      </c>
      <c r="AY19" s="13">
        <f t="shared" si="13"/>
        <v>0</v>
      </c>
      <c r="AZ19" s="104">
        <f t="shared" si="14"/>
        <v>0</v>
      </c>
      <c r="BA19" s="103">
        <f>COUNTIF(H19:AL19,"VA")</f>
        <v>0</v>
      </c>
    </row>
    <row r="20" spans="2:53" ht="18">
      <c r="B20" s="15"/>
      <c r="C20" s="15"/>
      <c r="D20" s="96"/>
      <c r="E20" s="40"/>
      <c r="F20" s="15"/>
      <c r="G20" s="96"/>
      <c r="H20" s="109"/>
      <c r="I20" s="109"/>
      <c r="J20" s="109"/>
      <c r="K20" s="109"/>
      <c r="L20" s="109"/>
      <c r="M20" s="109"/>
      <c r="N20" s="109"/>
      <c r="O20" s="109"/>
      <c r="P20" s="109"/>
      <c r="Q20" s="109"/>
      <c r="R20" s="92"/>
      <c r="S20" s="92"/>
      <c r="T20" s="92"/>
      <c r="U20" s="92"/>
      <c r="V20" s="92"/>
      <c r="W20" s="92"/>
      <c r="X20" s="92"/>
      <c r="Y20" s="92"/>
      <c r="Z20" s="92"/>
      <c r="AA20" s="92"/>
      <c r="AB20" s="92"/>
      <c r="AC20" s="92"/>
      <c r="AD20" s="92"/>
      <c r="AE20" s="92"/>
      <c r="AF20" s="92"/>
      <c r="AG20" s="92"/>
      <c r="AH20" s="92"/>
      <c r="AI20" s="92"/>
      <c r="AJ20" s="92"/>
      <c r="AK20" s="92"/>
      <c r="AL20" s="92"/>
      <c r="AM20" s="2">
        <f t="shared" si="1"/>
        <v>0</v>
      </c>
      <c r="AN20" s="3">
        <f t="shared" si="2"/>
        <v>0</v>
      </c>
      <c r="AO20" s="4">
        <f t="shared" si="3"/>
        <v>0</v>
      </c>
      <c r="AP20" s="5">
        <f t="shared" si="4"/>
        <v>0</v>
      </c>
      <c r="AQ20" s="6">
        <f t="shared" si="5"/>
        <v>0</v>
      </c>
      <c r="AR20" s="7">
        <f t="shared" si="6"/>
        <v>0</v>
      </c>
      <c r="AS20" s="8">
        <f t="shared" si="7"/>
        <v>0</v>
      </c>
      <c r="AT20" s="9">
        <f t="shared" si="8"/>
        <v>0</v>
      </c>
      <c r="AU20" s="3">
        <f t="shared" si="9"/>
        <v>0</v>
      </c>
      <c r="AV20" s="10">
        <f t="shared" si="10"/>
        <v>0</v>
      </c>
      <c r="AW20" s="11">
        <f t="shared" si="11"/>
        <v>0</v>
      </c>
      <c r="AX20" s="12">
        <f t="shared" si="12"/>
        <v>0</v>
      </c>
      <c r="AY20" s="13">
        <f t="shared" si="13"/>
        <v>0</v>
      </c>
      <c r="AZ20" s="104">
        <f t="shared" si="14"/>
        <v>0</v>
      </c>
      <c r="BA20" s="103">
        <f>COUNTIF(H20:AL20,"VA")</f>
        <v>0</v>
      </c>
    </row>
    <row r="21" spans="2:53" ht="18">
      <c r="B21" s="15"/>
      <c r="C21" s="15"/>
      <c r="D21" s="96"/>
      <c r="E21" s="40"/>
      <c r="F21" s="15"/>
      <c r="G21" s="15"/>
      <c r="H21" s="109"/>
      <c r="I21" s="109"/>
      <c r="J21" s="109"/>
      <c r="K21" s="109"/>
      <c r="L21" s="109"/>
      <c r="M21" s="109"/>
      <c r="N21" s="109"/>
      <c r="O21" s="109"/>
      <c r="P21" s="109"/>
      <c r="Q21" s="109"/>
      <c r="R21" s="92"/>
      <c r="S21" s="92"/>
      <c r="T21" s="92"/>
      <c r="U21" s="92"/>
      <c r="V21" s="92"/>
      <c r="W21" s="92"/>
      <c r="X21" s="92"/>
      <c r="Y21" s="92"/>
      <c r="Z21" s="92"/>
      <c r="AA21" s="92"/>
      <c r="AB21" s="92"/>
      <c r="AC21" s="92"/>
      <c r="AD21" s="92"/>
      <c r="AE21" s="92"/>
      <c r="AF21" s="92"/>
      <c r="AG21" s="92"/>
      <c r="AH21" s="92"/>
      <c r="AI21" s="92"/>
      <c r="AJ21" s="92"/>
      <c r="AK21" s="92"/>
      <c r="AL21" s="92"/>
      <c r="AM21" s="2">
        <f t="shared" si="1"/>
        <v>0</v>
      </c>
      <c r="AN21" s="3">
        <f t="shared" si="2"/>
        <v>0</v>
      </c>
      <c r="AO21" s="4">
        <f t="shared" si="3"/>
        <v>0</v>
      </c>
      <c r="AP21" s="5">
        <f t="shared" si="4"/>
        <v>0</v>
      </c>
      <c r="AQ21" s="6">
        <f t="shared" si="5"/>
        <v>0</v>
      </c>
      <c r="AR21" s="7">
        <f t="shared" si="6"/>
        <v>0</v>
      </c>
      <c r="AS21" s="8">
        <f t="shared" si="7"/>
        <v>0</v>
      </c>
      <c r="AT21" s="9">
        <f t="shared" si="8"/>
        <v>0</v>
      </c>
      <c r="AU21" s="3">
        <f t="shared" si="9"/>
        <v>0</v>
      </c>
      <c r="AV21" s="10">
        <f t="shared" si="10"/>
        <v>0</v>
      </c>
      <c r="AW21" s="11">
        <f t="shared" si="11"/>
        <v>0</v>
      </c>
      <c r="AX21" s="12">
        <f t="shared" si="12"/>
        <v>0</v>
      </c>
      <c r="AY21" s="13">
        <f t="shared" si="13"/>
        <v>0</v>
      </c>
      <c r="AZ21" s="104">
        <f t="shared" si="14"/>
        <v>0</v>
      </c>
      <c r="BA21" s="103">
        <f>COUNTIF(H21:AL21,"VA")</f>
        <v>0</v>
      </c>
    </row>
    <row r="22" spans="2:53" ht="18">
      <c r="B22" s="15"/>
      <c r="C22" s="15"/>
      <c r="D22" s="96"/>
      <c r="E22" s="40"/>
      <c r="F22" s="15"/>
      <c r="G22" s="15"/>
      <c r="H22" s="109"/>
      <c r="I22" s="109"/>
      <c r="J22" s="109"/>
      <c r="K22" s="109"/>
      <c r="L22" s="109"/>
      <c r="M22" s="109"/>
      <c r="N22" s="109"/>
      <c r="O22" s="109"/>
      <c r="P22" s="109"/>
      <c r="Q22" s="109"/>
      <c r="R22" s="92"/>
      <c r="S22" s="92"/>
      <c r="T22" s="92"/>
      <c r="U22" s="92"/>
      <c r="V22" s="92"/>
      <c r="W22" s="92"/>
      <c r="X22" s="92"/>
      <c r="Y22" s="92"/>
      <c r="Z22" s="92"/>
      <c r="AA22" s="92"/>
      <c r="AB22" s="92"/>
      <c r="AC22" s="92"/>
      <c r="AD22" s="92"/>
      <c r="AE22" s="92"/>
      <c r="AF22" s="92"/>
      <c r="AG22" s="92"/>
      <c r="AH22" s="92"/>
      <c r="AI22" s="92"/>
      <c r="AJ22" s="92"/>
      <c r="AK22" s="92"/>
      <c r="AL22" s="92"/>
      <c r="AM22" s="2">
        <f t="shared" si="1"/>
        <v>0</v>
      </c>
      <c r="AN22" s="3">
        <f t="shared" si="2"/>
        <v>0</v>
      </c>
      <c r="AO22" s="4">
        <f t="shared" si="3"/>
        <v>0</v>
      </c>
      <c r="AP22" s="5">
        <f t="shared" si="4"/>
        <v>0</v>
      </c>
      <c r="AQ22" s="6">
        <f t="shared" si="5"/>
        <v>0</v>
      </c>
      <c r="AR22" s="7">
        <f t="shared" si="6"/>
        <v>0</v>
      </c>
      <c r="AS22" s="8">
        <f t="shared" si="7"/>
        <v>0</v>
      </c>
      <c r="AT22" s="9">
        <f t="shared" si="8"/>
        <v>0</v>
      </c>
      <c r="AU22" s="3">
        <f t="shared" si="9"/>
        <v>0</v>
      </c>
      <c r="AV22" s="10">
        <f t="shared" si="10"/>
        <v>0</v>
      </c>
      <c r="AW22" s="11">
        <f t="shared" si="11"/>
        <v>0</v>
      </c>
      <c r="AX22" s="12">
        <f t="shared" si="12"/>
        <v>0</v>
      </c>
      <c r="AY22" s="13">
        <f t="shared" si="13"/>
        <v>0</v>
      </c>
      <c r="AZ22" s="104">
        <f t="shared" si="14"/>
        <v>0</v>
      </c>
      <c r="BA22" s="103">
        <f>COUNTIF(H22:AL22,"VA")</f>
        <v>0</v>
      </c>
    </row>
    <row r="23" spans="2:53" ht="18">
      <c r="B23" s="15"/>
      <c r="C23" s="15"/>
      <c r="D23" s="96"/>
      <c r="E23" s="40"/>
      <c r="F23" s="15"/>
      <c r="G23" s="15"/>
      <c r="H23" s="109"/>
      <c r="I23" s="109"/>
      <c r="J23" s="109"/>
      <c r="K23" s="109"/>
      <c r="L23" s="109"/>
      <c r="M23" s="109"/>
      <c r="N23" s="109"/>
      <c r="O23" s="109"/>
      <c r="P23" s="109"/>
      <c r="Q23" s="109"/>
      <c r="R23" s="92"/>
      <c r="S23" s="92"/>
      <c r="T23" s="92"/>
      <c r="U23" s="92"/>
      <c r="V23" s="92"/>
      <c r="W23" s="92"/>
      <c r="X23" s="92"/>
      <c r="Y23" s="92"/>
      <c r="Z23" s="92"/>
      <c r="AA23" s="92"/>
      <c r="AB23" s="92"/>
      <c r="AC23" s="92"/>
      <c r="AD23" s="92"/>
      <c r="AE23" s="92"/>
      <c r="AF23" s="92"/>
      <c r="AG23" s="92"/>
      <c r="AH23" s="92"/>
      <c r="AI23" s="92"/>
      <c r="AJ23" s="92"/>
      <c r="AK23" s="92"/>
      <c r="AL23" s="92"/>
      <c r="AM23" s="2">
        <f t="shared" si="1"/>
        <v>0</v>
      </c>
      <c r="AN23" s="3">
        <f t="shared" si="2"/>
        <v>0</v>
      </c>
      <c r="AO23" s="4">
        <f t="shared" si="3"/>
        <v>0</v>
      </c>
      <c r="AP23" s="5">
        <f t="shared" si="4"/>
        <v>0</v>
      </c>
      <c r="AQ23" s="6">
        <f t="shared" si="5"/>
        <v>0</v>
      </c>
      <c r="AR23" s="7">
        <f t="shared" si="6"/>
        <v>0</v>
      </c>
      <c r="AS23" s="8">
        <f t="shared" si="7"/>
        <v>0</v>
      </c>
      <c r="AT23" s="9">
        <f t="shared" si="8"/>
        <v>0</v>
      </c>
      <c r="AU23" s="3">
        <f t="shared" si="9"/>
        <v>0</v>
      </c>
      <c r="AV23" s="10">
        <f t="shared" si="10"/>
        <v>0</v>
      </c>
      <c r="AW23" s="11">
        <f t="shared" si="11"/>
        <v>0</v>
      </c>
      <c r="AX23" s="12">
        <f t="shared" si="12"/>
        <v>0</v>
      </c>
      <c r="AY23" s="13">
        <f t="shared" si="13"/>
        <v>0</v>
      </c>
      <c r="AZ23" s="104">
        <f t="shared" si="14"/>
        <v>0</v>
      </c>
      <c r="BA23" s="103">
        <f>COUNTIF(H23:AL23,"VA")</f>
        <v>0</v>
      </c>
    </row>
    <row r="24" spans="2:53" ht="18">
      <c r="B24" s="15"/>
      <c r="C24" s="15"/>
      <c r="D24" s="96"/>
      <c r="E24" s="40"/>
      <c r="F24" s="15"/>
      <c r="G24" s="15"/>
      <c r="H24" s="109"/>
      <c r="I24" s="109"/>
      <c r="J24" s="109"/>
      <c r="K24" s="109"/>
      <c r="L24" s="109"/>
      <c r="M24" s="109"/>
      <c r="N24" s="109"/>
      <c r="O24" s="109"/>
      <c r="P24" s="109"/>
      <c r="Q24" s="109"/>
      <c r="R24" s="92"/>
      <c r="S24" s="92"/>
      <c r="T24" s="92"/>
      <c r="U24" s="92"/>
      <c r="V24" s="92"/>
      <c r="W24" s="92"/>
      <c r="X24" s="92"/>
      <c r="Y24" s="92"/>
      <c r="Z24" s="92"/>
      <c r="AA24" s="92"/>
      <c r="AB24" s="92"/>
      <c r="AC24" s="92"/>
      <c r="AD24" s="92"/>
      <c r="AE24" s="92"/>
      <c r="AF24" s="92"/>
      <c r="AG24" s="92"/>
      <c r="AH24" s="92"/>
      <c r="AI24" s="92"/>
      <c r="AJ24" s="92"/>
      <c r="AK24" s="92"/>
      <c r="AL24" s="92"/>
      <c r="AM24" s="2">
        <f t="shared" si="1"/>
        <v>0</v>
      </c>
      <c r="AN24" s="3">
        <f t="shared" si="2"/>
        <v>0</v>
      </c>
      <c r="AO24" s="4">
        <f t="shared" si="3"/>
        <v>0</v>
      </c>
      <c r="AP24" s="5">
        <f t="shared" si="4"/>
        <v>0</v>
      </c>
      <c r="AQ24" s="6">
        <f t="shared" si="5"/>
        <v>0</v>
      </c>
      <c r="AR24" s="7">
        <f t="shared" si="6"/>
        <v>0</v>
      </c>
      <c r="AS24" s="8">
        <f t="shared" si="7"/>
        <v>0</v>
      </c>
      <c r="AT24" s="9">
        <f t="shared" si="8"/>
        <v>0</v>
      </c>
      <c r="AU24" s="3">
        <f t="shared" si="9"/>
        <v>0</v>
      </c>
      <c r="AV24" s="10">
        <f t="shared" si="10"/>
        <v>0</v>
      </c>
      <c r="AW24" s="11">
        <f t="shared" si="11"/>
        <v>0</v>
      </c>
      <c r="AX24" s="12">
        <f t="shared" si="12"/>
        <v>0</v>
      </c>
      <c r="AY24" s="13">
        <f t="shared" si="13"/>
        <v>0</v>
      </c>
      <c r="AZ24" s="104">
        <f t="shared" si="14"/>
        <v>0</v>
      </c>
      <c r="BA24" s="103">
        <f>COUNTIF(H24:AL24,"VA")</f>
        <v>0</v>
      </c>
    </row>
    <row r="25" spans="2:53" ht="18">
      <c r="B25" s="15"/>
      <c r="C25" s="15"/>
      <c r="D25" s="96"/>
      <c r="E25" s="40"/>
      <c r="F25" s="15"/>
      <c r="G25" s="15"/>
      <c r="H25" s="109"/>
      <c r="I25" s="109"/>
      <c r="J25" s="109"/>
      <c r="K25" s="109"/>
      <c r="L25" s="109"/>
      <c r="M25" s="109"/>
      <c r="N25" s="109"/>
      <c r="O25" s="109"/>
      <c r="P25" s="109"/>
      <c r="Q25" s="109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2"/>
      <c r="AG25" s="92"/>
      <c r="AH25" s="92"/>
      <c r="AI25" s="92"/>
      <c r="AJ25" s="92"/>
      <c r="AK25" s="92"/>
      <c r="AL25" s="92"/>
      <c r="AM25" s="2">
        <f t="shared" si="1"/>
        <v>0</v>
      </c>
      <c r="AN25" s="3">
        <f t="shared" si="2"/>
        <v>0</v>
      </c>
      <c r="AO25" s="4">
        <f t="shared" si="3"/>
        <v>0</v>
      </c>
      <c r="AP25" s="5">
        <f t="shared" si="4"/>
        <v>0</v>
      </c>
      <c r="AQ25" s="6">
        <f t="shared" si="5"/>
        <v>0</v>
      </c>
      <c r="AR25" s="7">
        <f t="shared" si="6"/>
        <v>0</v>
      </c>
      <c r="AS25" s="8">
        <f t="shared" si="7"/>
        <v>0</v>
      </c>
      <c r="AT25" s="9">
        <f t="shared" si="8"/>
        <v>0</v>
      </c>
      <c r="AU25" s="3">
        <f t="shared" si="9"/>
        <v>0</v>
      </c>
      <c r="AV25" s="10">
        <f t="shared" si="10"/>
        <v>0</v>
      </c>
      <c r="AW25" s="11">
        <f t="shared" si="11"/>
        <v>0</v>
      </c>
      <c r="AX25" s="12">
        <f t="shared" si="12"/>
        <v>0</v>
      </c>
      <c r="AY25" s="13">
        <f t="shared" si="13"/>
        <v>0</v>
      </c>
      <c r="AZ25" s="104">
        <f t="shared" si="14"/>
        <v>0</v>
      </c>
      <c r="BA25" s="103">
        <f>COUNTIF(H25:AL25,"VA")</f>
        <v>0</v>
      </c>
    </row>
    <row r="26" spans="2:53" ht="18">
      <c r="B26" s="15"/>
      <c r="C26" s="15"/>
      <c r="D26" s="96"/>
      <c r="E26" s="40"/>
      <c r="F26" s="15"/>
      <c r="G26" s="15"/>
      <c r="H26" s="109"/>
      <c r="I26" s="109"/>
      <c r="J26" s="109"/>
      <c r="K26" s="109"/>
      <c r="L26" s="109"/>
      <c r="M26" s="109"/>
      <c r="N26" s="109"/>
      <c r="O26" s="109"/>
      <c r="P26" s="109"/>
      <c r="Q26" s="109"/>
      <c r="R26" s="92"/>
      <c r="S26" s="92"/>
      <c r="T26" s="92"/>
      <c r="U26" s="92"/>
      <c r="V26" s="92"/>
      <c r="W26" s="92"/>
      <c r="X26" s="92"/>
      <c r="Y26" s="92"/>
      <c r="Z26" s="92"/>
      <c r="AA26" s="92"/>
      <c r="AB26" s="92"/>
      <c r="AC26" s="92"/>
      <c r="AD26" s="92"/>
      <c r="AE26" s="92"/>
      <c r="AF26" s="92"/>
      <c r="AG26" s="92"/>
      <c r="AH26" s="92"/>
      <c r="AI26" s="92"/>
      <c r="AJ26" s="92"/>
      <c r="AK26" s="92"/>
      <c r="AL26" s="92"/>
      <c r="AM26" s="2">
        <f t="shared" si="1"/>
        <v>0</v>
      </c>
      <c r="AN26" s="3">
        <f t="shared" si="2"/>
        <v>0</v>
      </c>
      <c r="AO26" s="4">
        <f t="shared" si="3"/>
        <v>0</v>
      </c>
      <c r="AP26" s="5">
        <f t="shared" si="4"/>
        <v>0</v>
      </c>
      <c r="AQ26" s="6">
        <f t="shared" si="5"/>
        <v>0</v>
      </c>
      <c r="AR26" s="7">
        <f t="shared" si="6"/>
        <v>0</v>
      </c>
      <c r="AS26" s="8">
        <f t="shared" si="7"/>
        <v>0</v>
      </c>
      <c r="AT26" s="9">
        <f t="shared" si="8"/>
        <v>0</v>
      </c>
      <c r="AU26" s="3">
        <f t="shared" si="9"/>
        <v>0</v>
      </c>
      <c r="AV26" s="10">
        <f t="shared" si="10"/>
        <v>0</v>
      </c>
      <c r="AW26" s="11">
        <f t="shared" si="11"/>
        <v>0</v>
      </c>
      <c r="AX26" s="12">
        <f t="shared" si="12"/>
        <v>0</v>
      </c>
      <c r="AY26" s="13">
        <f t="shared" si="13"/>
        <v>0</v>
      </c>
      <c r="AZ26" s="104">
        <f t="shared" si="14"/>
        <v>0</v>
      </c>
      <c r="BA26" s="103">
        <f>COUNTIF(H26:AL26,"VA")</f>
        <v>0</v>
      </c>
    </row>
    <row r="27" spans="2:53" ht="18">
      <c r="B27" s="15"/>
      <c r="C27" s="15"/>
      <c r="D27" s="96"/>
      <c r="E27" s="40"/>
      <c r="F27" s="15"/>
      <c r="G27" s="15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92"/>
      <c r="S27" s="92"/>
      <c r="T27" s="92"/>
      <c r="U27" s="92"/>
      <c r="V27" s="92"/>
      <c r="W27" s="92"/>
      <c r="X27" s="92"/>
      <c r="Y27" s="92"/>
      <c r="Z27" s="92"/>
      <c r="AA27" s="92"/>
      <c r="AB27" s="92"/>
      <c r="AC27" s="92"/>
      <c r="AD27" s="92"/>
      <c r="AE27" s="92"/>
      <c r="AF27" s="92"/>
      <c r="AG27" s="92"/>
      <c r="AH27" s="92"/>
      <c r="AI27" s="92"/>
      <c r="AJ27" s="92"/>
      <c r="AK27" s="92"/>
      <c r="AL27" s="92"/>
      <c r="AM27" s="2">
        <f t="shared" si="1"/>
        <v>0</v>
      </c>
      <c r="AN27" s="3">
        <f t="shared" si="2"/>
        <v>0</v>
      </c>
      <c r="AO27" s="4">
        <f t="shared" si="3"/>
        <v>0</v>
      </c>
      <c r="AP27" s="5">
        <f t="shared" si="4"/>
        <v>0</v>
      </c>
      <c r="AQ27" s="6">
        <f t="shared" si="5"/>
        <v>0</v>
      </c>
      <c r="AR27" s="7">
        <f t="shared" si="6"/>
        <v>0</v>
      </c>
      <c r="AS27" s="8">
        <f t="shared" si="7"/>
        <v>0</v>
      </c>
      <c r="AT27" s="9">
        <f t="shared" si="8"/>
        <v>0</v>
      </c>
      <c r="AU27" s="3">
        <f t="shared" si="9"/>
        <v>0</v>
      </c>
      <c r="AV27" s="10">
        <f t="shared" si="10"/>
        <v>0</v>
      </c>
      <c r="AW27" s="11">
        <f t="shared" si="11"/>
        <v>0</v>
      </c>
      <c r="AX27" s="12">
        <f t="shared" si="12"/>
        <v>0</v>
      </c>
      <c r="AY27" s="13">
        <f t="shared" si="13"/>
        <v>0</v>
      </c>
      <c r="AZ27" s="104">
        <f t="shared" si="14"/>
        <v>0</v>
      </c>
      <c r="BA27" s="103">
        <f>COUNTIF(H27:AL27,"VA")</f>
        <v>0</v>
      </c>
    </row>
    <row r="28" spans="2:53" ht="18">
      <c r="B28" s="15"/>
      <c r="C28" s="15"/>
      <c r="D28" s="15"/>
      <c r="E28" s="15"/>
      <c r="F28" s="15"/>
      <c r="G28" s="15"/>
      <c r="H28" s="109"/>
      <c r="I28" s="109"/>
      <c r="J28" s="109"/>
      <c r="K28" s="109"/>
      <c r="L28" s="109"/>
      <c r="M28" s="109"/>
      <c r="N28" s="109"/>
      <c r="O28" s="109"/>
      <c r="P28" s="109"/>
      <c r="Q28" s="109"/>
      <c r="R28" s="92"/>
      <c r="S28" s="92"/>
      <c r="T28" s="92"/>
      <c r="U28" s="92"/>
      <c r="V28" s="92"/>
      <c r="W28" s="92"/>
      <c r="X28" s="92"/>
      <c r="Y28" s="92"/>
      <c r="Z28" s="92"/>
      <c r="AA28" s="92"/>
      <c r="AB28" s="92"/>
      <c r="AC28" s="92"/>
      <c r="AD28" s="92"/>
      <c r="AE28" s="92"/>
      <c r="AF28" s="92"/>
      <c r="AG28" s="92"/>
      <c r="AH28" s="92"/>
      <c r="AI28" s="92"/>
      <c r="AJ28" s="92"/>
      <c r="AK28" s="92"/>
      <c r="AL28" s="92"/>
      <c r="AM28" s="2">
        <f t="shared" si="1"/>
        <v>0</v>
      </c>
      <c r="AN28" s="3">
        <f t="shared" si="2"/>
        <v>0</v>
      </c>
      <c r="AO28" s="4">
        <f t="shared" si="3"/>
        <v>0</v>
      </c>
      <c r="AP28" s="5">
        <f t="shared" si="4"/>
        <v>0</v>
      </c>
      <c r="AQ28" s="6">
        <f t="shared" si="5"/>
        <v>0</v>
      </c>
      <c r="AR28" s="7">
        <f t="shared" si="6"/>
        <v>0</v>
      </c>
      <c r="AS28" s="8">
        <f t="shared" si="7"/>
        <v>0</v>
      </c>
      <c r="AT28" s="9">
        <f t="shared" si="8"/>
        <v>0</v>
      </c>
      <c r="AU28" s="3">
        <f t="shared" si="9"/>
        <v>0</v>
      </c>
      <c r="AV28" s="10">
        <f t="shared" si="10"/>
        <v>0</v>
      </c>
      <c r="AW28" s="11">
        <f t="shared" si="11"/>
        <v>0</v>
      </c>
      <c r="AX28" s="12">
        <f t="shared" si="12"/>
        <v>0</v>
      </c>
      <c r="AY28" s="13">
        <f t="shared" si="13"/>
        <v>0</v>
      </c>
      <c r="AZ28" s="104">
        <f t="shared" si="14"/>
        <v>0</v>
      </c>
      <c r="BA28" s="103">
        <f>COUNTIF(H28:AL28,"VA")</f>
        <v>0</v>
      </c>
    </row>
    <row r="29" spans="2:53" ht="18">
      <c r="B29" s="16"/>
      <c r="C29" s="16"/>
      <c r="D29" s="96"/>
      <c r="E29" s="40"/>
      <c r="F29" s="16"/>
      <c r="G29" s="15"/>
      <c r="H29" s="109"/>
      <c r="I29" s="109"/>
      <c r="J29" s="109"/>
      <c r="K29" s="109"/>
      <c r="L29" s="109"/>
      <c r="M29" s="109"/>
      <c r="N29" s="109"/>
      <c r="O29" s="109"/>
      <c r="P29" s="109"/>
      <c r="Q29" s="109"/>
      <c r="R29" s="92"/>
      <c r="S29" s="92"/>
      <c r="T29" s="92"/>
      <c r="U29" s="92"/>
      <c r="V29" s="92"/>
      <c r="W29" s="92"/>
      <c r="X29" s="92"/>
      <c r="Y29" s="92"/>
      <c r="Z29" s="92"/>
      <c r="AA29" s="92"/>
      <c r="AB29" s="92"/>
      <c r="AC29" s="92"/>
      <c r="AD29" s="92"/>
      <c r="AE29" s="92"/>
      <c r="AF29" s="92"/>
      <c r="AG29" s="92"/>
      <c r="AH29" s="92"/>
      <c r="AI29" s="92"/>
      <c r="AJ29" s="92"/>
      <c r="AK29" s="92"/>
      <c r="AL29" s="92"/>
      <c r="AM29" s="2">
        <f t="shared" si="1"/>
        <v>0</v>
      </c>
      <c r="AN29" s="3">
        <f t="shared" si="2"/>
        <v>0</v>
      </c>
      <c r="AO29" s="4">
        <f t="shared" si="3"/>
        <v>0</v>
      </c>
      <c r="AP29" s="5">
        <f t="shared" si="4"/>
        <v>0</v>
      </c>
      <c r="AQ29" s="6">
        <f t="shared" si="5"/>
        <v>0</v>
      </c>
      <c r="AR29" s="7">
        <f t="shared" si="6"/>
        <v>0</v>
      </c>
      <c r="AS29" s="8">
        <f t="shared" si="7"/>
        <v>0</v>
      </c>
      <c r="AT29" s="9">
        <f t="shared" si="8"/>
        <v>0</v>
      </c>
      <c r="AU29" s="3">
        <f t="shared" si="9"/>
        <v>0</v>
      </c>
      <c r="AV29" s="10">
        <f t="shared" si="10"/>
        <v>0</v>
      </c>
      <c r="AW29" s="11">
        <f t="shared" si="11"/>
        <v>0</v>
      </c>
      <c r="AX29" s="12">
        <f t="shared" si="12"/>
        <v>0</v>
      </c>
      <c r="AY29" s="13">
        <f t="shared" si="13"/>
        <v>0</v>
      </c>
      <c r="AZ29" s="104">
        <f t="shared" si="14"/>
        <v>0</v>
      </c>
      <c r="BA29" s="103">
        <f>COUNTIF(H29:AL29,"VA")</f>
        <v>0</v>
      </c>
    </row>
    <row r="30" spans="2:53" ht="18">
      <c r="B30" s="123" t="s">
        <v>74</v>
      </c>
      <c r="C30" s="124"/>
      <c r="D30" s="124"/>
      <c r="E30" s="124"/>
      <c r="F30" s="124"/>
      <c r="G30" s="125"/>
      <c r="H30" s="126"/>
      <c r="I30" s="127"/>
      <c r="J30" s="127"/>
      <c r="K30" s="127"/>
      <c r="L30" s="127"/>
      <c r="M30" s="127"/>
      <c r="N30" s="127"/>
      <c r="O30" s="127"/>
      <c r="P30" s="127"/>
      <c r="Q30" s="127"/>
      <c r="R30" s="127"/>
      <c r="S30" s="127"/>
      <c r="T30" s="127"/>
      <c r="U30" s="127"/>
      <c r="V30" s="127"/>
      <c r="W30" s="127"/>
      <c r="X30" s="127"/>
      <c r="Y30" s="127"/>
      <c r="Z30" s="127"/>
      <c r="AA30" s="127"/>
      <c r="AB30" s="127"/>
      <c r="AC30" s="127"/>
      <c r="AD30" s="127"/>
      <c r="AE30" s="127"/>
      <c r="AF30" s="127"/>
      <c r="AG30" s="127"/>
      <c r="AH30" s="127"/>
      <c r="AI30" s="127"/>
      <c r="AJ30" s="127"/>
      <c r="AK30" s="127"/>
      <c r="AL30" s="128"/>
      <c r="AM30" s="14">
        <f>SUM(AM10:AM29)</f>
        <v>0</v>
      </c>
      <c r="AN30" s="14">
        <f t="shared" ref="AN30:AW30" si="15">SUM(AN10:AN29)</f>
        <v>0</v>
      </c>
      <c r="AO30" s="14">
        <f t="shared" si="15"/>
        <v>0</v>
      </c>
      <c r="AP30" s="14">
        <f t="shared" si="15"/>
        <v>0</v>
      </c>
      <c r="AQ30" s="14">
        <f t="shared" si="15"/>
        <v>0</v>
      </c>
      <c r="AR30" s="14">
        <f t="shared" si="15"/>
        <v>0</v>
      </c>
      <c r="AS30" s="14">
        <f t="shared" si="15"/>
        <v>0</v>
      </c>
      <c r="AT30" s="14">
        <f t="shared" si="15"/>
        <v>0</v>
      </c>
      <c r="AU30" s="14">
        <f t="shared" si="15"/>
        <v>0</v>
      </c>
      <c r="AV30" s="14">
        <f t="shared" si="15"/>
        <v>0</v>
      </c>
      <c r="AW30" s="14">
        <f>SUM(AW10:AW29)</f>
        <v>0</v>
      </c>
      <c r="AX30" s="14">
        <f>SUM(AX10:AX29)</f>
        <v>0</v>
      </c>
      <c r="AY30" s="14">
        <f>SUM(AY10:AY29)</f>
        <v>0</v>
      </c>
      <c r="AZ30" s="14">
        <f>SUM(AZ10:AZ29)</f>
        <v>0</v>
      </c>
      <c r="BA30" s="14">
        <f>SUM(BA10:BA29)</f>
        <v>0</v>
      </c>
    </row>
    <row r="33" spans="6:6">
      <c r="F33" s="38"/>
    </row>
  </sheetData>
  <sheetProtection formatCells="0" formatColumns="0" formatRows="0" sort="0" autoFilter="0" pivotTables="0"/>
  <mergeCells count="4">
    <mergeCell ref="B1:BA1"/>
    <mergeCell ref="B8:G8"/>
    <mergeCell ref="B30:G30"/>
    <mergeCell ref="H30:AL30"/>
  </mergeCells>
  <conditionalFormatting sqref="H10:AL29">
    <cfRule type="containsText" dxfId="113" priority="1" operator="containsText" text="FD">
      <formula>NOT(ISERROR(SEARCH("FD",H10)))</formula>
    </cfRule>
    <cfRule type="containsText" dxfId="112" priority="2" operator="containsText" text="VA">
      <formula>NOT(ISERROR(SEARCH("VA",H10)))</formula>
    </cfRule>
    <cfRule type="containsText" dxfId="111" priority="3" operator="containsText" text="FT">
      <formula>NOT(ISERROR(SEARCH("FT",H10)))</formula>
    </cfRule>
    <cfRule type="containsText" dxfId="110" priority="4" operator="containsText" text="AM">
      <formula>NOT(ISERROR(SEARCH("AM",H10)))</formula>
    </cfRule>
    <cfRule type="containsText" dxfId="109" priority="5" operator="containsText" text="SP">
      <formula>NOT(ISERROR(SEARCH("SP",H10)))</formula>
    </cfRule>
    <cfRule type="containsText" dxfId="108" priority="6" operator="containsText" text="DM">
      <formula>NOT(ISERROR(SEARCH("DM",H10)))</formula>
    </cfRule>
    <cfRule type="containsText" dxfId="107" priority="7" operator="containsText" text="A">
      <formula>NOT(ISERROR(SEARCH("A",H10)))</formula>
    </cfRule>
    <cfRule type="containsText" dxfId="106" priority="8" operator="containsText" text="F">
      <formula>NOT(ISERROR(SEARCH("F",H10)))</formula>
    </cfRule>
    <cfRule type="containsText" dxfId="105" priority="9" operator="containsText" text="D">
      <formula>NOT(ISERROR(SEARCH("D",H10)))</formula>
    </cfRule>
    <cfRule type="containsText" dxfId="104" priority="10" operator="containsText" text="V">
      <formula>NOT(ISERROR(SEARCH("V",H10)))</formula>
    </cfRule>
    <cfRule type="containsText" dxfId="103" priority="11" operator="containsText" text="LCG">
      <formula>NOT(ISERROR(SEARCH("LCG",H10)))</formula>
    </cfRule>
    <cfRule type="containsText" dxfId="102" priority="12" operator="containsText" text="LSG">
      <formula>NOT(ISERROR(SEARCH("LSG",H10)))</formula>
    </cfRule>
    <cfRule type="containsText" dxfId="101" priority="13" operator="containsText" text="LPP">
      <formula>NOT(ISERROR(SEARCH("LPP",H10)))</formula>
    </cfRule>
    <cfRule type="containsText" dxfId="100" priority="14" operator="containsText" text="S">
      <formula>NOT(ISERROR(SEARCH("S",H10)))</formula>
    </cfRule>
    <cfRule type="containsText" dxfId="99" priority="15" operator="containsText" text="CE">
      <formula>NOT(ISERROR(SEARCH("CE",H10)))</formula>
    </cfRule>
  </conditionalFormatting>
  <dataValidations count="4">
    <dataValidation type="list" allowBlank="1" showInputMessage="1" showErrorMessage="1" errorTitle="Código inválido" error="Selecciona un código válido." promptTitle="Estado del día" prompt="A - F - D - V - DM - AM - LCG - LSG - LPP - S - SP - CE - FE" sqref="H10:AL29" xr:uid="{BAA39876-5E11-4042-ACFA-2FEE8F6678A8}">
      <formula1>Estados</formula1>
    </dataValidation>
    <dataValidation type="list" allowBlank="1" showInputMessage="1" showErrorMessage="1" sqref="D10:D29" xr:uid="{704166A5-C313-487E-AC40-B1F0AD9D1D09}">
      <formula1>ListaArea</formula1>
    </dataValidation>
    <dataValidation type="list" allowBlank="1" showInputMessage="1" showErrorMessage="1" sqref="E10:E29" xr:uid="{D2BD4A0A-BA30-46F0-A954-2945DF979A40}">
      <formula1>ListaSubArea</formula1>
    </dataValidation>
    <dataValidation type="list" allowBlank="1" showInputMessage="1" showErrorMessage="1" sqref="G10:G29" xr:uid="{BF5E96B8-D467-4023-B0AC-E14A1F74A78A}">
      <formula1>Lista_TipoTrabajador</formula1>
    </dataValidation>
  </dataValidations>
  <pageMargins left="0.7" right="0.7" top="0.75" bottom="0.75" header="0.3" footer="0.3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Hoja14"/>
  <dimension ref="A1:F4"/>
  <sheetViews>
    <sheetView workbookViewId="0"/>
  </sheetViews>
  <sheetFormatPr defaultColWidth="8.85546875" defaultRowHeight="14.45"/>
  <sheetData>
    <row r="1" spans="1:6">
      <c r="A1" t="s">
        <v>75</v>
      </c>
      <c r="B1" t="s">
        <v>76</v>
      </c>
    </row>
    <row r="4" spans="1:6">
      <c r="F4">
        <v>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78AC0-042A-4447-B1D1-85386CDCDA52}">
  <dimension ref="A1:C27"/>
  <sheetViews>
    <sheetView workbookViewId="0">
      <selection activeCell="B12" sqref="B12"/>
    </sheetView>
  </sheetViews>
  <sheetFormatPr defaultColWidth="11.5703125" defaultRowHeight="14.45"/>
  <cols>
    <col min="2" max="2" width="23.7109375" bestFit="1" customWidth="1"/>
    <col min="3" max="3" width="80.140625" bestFit="1" customWidth="1"/>
  </cols>
  <sheetData>
    <row r="1" spans="1:3" ht="18">
      <c r="A1" s="111" t="s">
        <v>77</v>
      </c>
    </row>
    <row r="3" spans="1:3">
      <c r="A3" s="114" t="s">
        <v>78</v>
      </c>
      <c r="B3" s="114" t="s">
        <v>79</v>
      </c>
      <c r="C3" s="114" t="s">
        <v>80</v>
      </c>
    </row>
    <row r="4" spans="1:3">
      <c r="A4" s="112" t="s">
        <v>59</v>
      </c>
      <c r="B4" s="112" t="s">
        <v>81</v>
      </c>
      <c r="C4" s="113" t="s">
        <v>82</v>
      </c>
    </row>
    <row r="5" spans="1:3">
      <c r="A5" s="112" t="s">
        <v>60</v>
      </c>
      <c r="B5" s="112" t="s">
        <v>83</v>
      </c>
      <c r="C5" s="113" t="s">
        <v>84</v>
      </c>
    </row>
    <row r="6" spans="1:3">
      <c r="A6" s="112" t="s">
        <v>61</v>
      </c>
      <c r="B6" s="112" t="s">
        <v>85</v>
      </c>
      <c r="C6" s="113" t="s">
        <v>86</v>
      </c>
    </row>
    <row r="7" spans="1:3">
      <c r="A7" s="112" t="s">
        <v>62</v>
      </c>
      <c r="B7" s="112" t="s">
        <v>87</v>
      </c>
      <c r="C7" s="113" t="s">
        <v>88</v>
      </c>
    </row>
    <row r="8" spans="1:3">
      <c r="A8" s="112" t="s">
        <v>63</v>
      </c>
      <c r="B8" s="112" t="s">
        <v>89</v>
      </c>
      <c r="C8" s="113" t="s">
        <v>90</v>
      </c>
    </row>
    <row r="9" spans="1:3">
      <c r="A9" s="112" t="s">
        <v>64</v>
      </c>
      <c r="B9" s="112" t="s">
        <v>91</v>
      </c>
      <c r="C9" s="113" t="s">
        <v>92</v>
      </c>
    </row>
    <row r="10" spans="1:3">
      <c r="A10" s="112" t="s">
        <v>65</v>
      </c>
      <c r="B10" s="112" t="s">
        <v>93</v>
      </c>
      <c r="C10" s="113" t="s">
        <v>94</v>
      </c>
    </row>
    <row r="11" spans="1:3">
      <c r="A11" s="112" t="s">
        <v>66</v>
      </c>
      <c r="B11" s="112" t="s">
        <v>95</v>
      </c>
      <c r="C11" s="113" t="s">
        <v>96</v>
      </c>
    </row>
    <row r="12" spans="1:3">
      <c r="A12" s="112" t="s">
        <v>67</v>
      </c>
      <c r="B12" s="112" t="s">
        <v>97</v>
      </c>
      <c r="C12" s="113" t="s">
        <v>98</v>
      </c>
    </row>
    <row r="13" spans="1:3">
      <c r="A13" s="112" t="s">
        <v>68</v>
      </c>
      <c r="B13" s="112" t="s">
        <v>99</v>
      </c>
      <c r="C13" s="113" t="s">
        <v>100</v>
      </c>
    </row>
    <row r="14" spans="1:3">
      <c r="A14" s="112" t="s">
        <v>69</v>
      </c>
      <c r="B14" s="112" t="s">
        <v>101</v>
      </c>
      <c r="C14" s="113" t="s">
        <v>102</v>
      </c>
    </row>
    <row r="15" spans="1:3">
      <c r="A15" s="112" t="s">
        <v>70</v>
      </c>
      <c r="B15" s="112" t="s">
        <v>103</v>
      </c>
      <c r="C15" s="113" t="s">
        <v>104</v>
      </c>
    </row>
    <row r="16" spans="1:3">
      <c r="A16" s="112" t="s">
        <v>71</v>
      </c>
      <c r="B16" s="112" t="s">
        <v>105</v>
      </c>
      <c r="C16" s="113" t="s">
        <v>106</v>
      </c>
    </row>
    <row r="17" spans="1:3">
      <c r="A17" s="112" t="s">
        <v>72</v>
      </c>
      <c r="B17" s="112" t="s">
        <v>107</v>
      </c>
      <c r="C17" s="113" t="s">
        <v>108</v>
      </c>
    </row>
    <row r="18" spans="1:3" ht="28.9">
      <c r="A18" s="116" t="s">
        <v>109</v>
      </c>
      <c r="B18" s="116" t="s">
        <v>110</v>
      </c>
      <c r="C18" s="117" t="s">
        <v>111</v>
      </c>
    </row>
    <row r="25" spans="1:3">
      <c r="A25" s="115" t="s">
        <v>112</v>
      </c>
    </row>
    <row r="26" spans="1:3">
      <c r="A26" t="s">
        <v>113</v>
      </c>
    </row>
    <row r="27" spans="1:3">
      <c r="A27" t="s">
        <v>114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C13DA-6F6B-45D3-95A9-3D80E358916A}">
  <dimension ref="B3:I71"/>
  <sheetViews>
    <sheetView topLeftCell="A41" zoomScale="70" zoomScaleNormal="70" workbookViewId="0">
      <selection activeCell="E17" sqref="E17"/>
    </sheetView>
  </sheetViews>
  <sheetFormatPr defaultColWidth="11.42578125" defaultRowHeight="14.45"/>
  <cols>
    <col min="1" max="1" width="11.42578125" style="1"/>
    <col min="2" max="2" width="14.42578125" style="1" customWidth="1"/>
    <col min="3" max="3" width="25.7109375" style="1" bestFit="1" customWidth="1"/>
    <col min="4" max="4" width="11.5703125" style="1" customWidth="1"/>
    <col min="5" max="5" width="25.28515625" style="1" bestFit="1" customWidth="1"/>
    <col min="6" max="6" width="22.42578125" style="1" bestFit="1" customWidth="1"/>
    <col min="7" max="7" width="12.7109375" style="1" bestFit="1" customWidth="1"/>
    <col min="8" max="8" width="30.7109375" style="1" customWidth="1"/>
    <col min="9" max="9" width="11.42578125" style="1"/>
    <col min="10" max="10" width="21.28515625" style="1" bestFit="1" customWidth="1"/>
    <col min="11" max="11" width="48.5703125" style="1" customWidth="1"/>
    <col min="12" max="16384" width="11.42578125" style="1"/>
  </cols>
  <sheetData>
    <row r="3" spans="2:3" ht="18">
      <c r="B3" s="131" t="s">
        <v>115</v>
      </c>
      <c r="C3" s="132"/>
    </row>
    <row r="4" spans="2:3" ht="14.45" customHeight="1">
      <c r="B4" s="48" t="s">
        <v>116</v>
      </c>
      <c r="C4" s="49" t="s">
        <v>117</v>
      </c>
    </row>
    <row r="5" spans="2:3" ht="18">
      <c r="B5" s="50" t="s">
        <v>59</v>
      </c>
      <c r="C5" s="51" t="s">
        <v>81</v>
      </c>
    </row>
    <row r="6" spans="2:3" ht="14.45" customHeight="1">
      <c r="B6" s="52" t="s">
        <v>60</v>
      </c>
      <c r="C6" s="51" t="s">
        <v>83</v>
      </c>
    </row>
    <row r="7" spans="2:3" ht="14.45" customHeight="1">
      <c r="B7" s="53" t="s">
        <v>61</v>
      </c>
      <c r="C7" s="51" t="s">
        <v>85</v>
      </c>
    </row>
    <row r="8" spans="2:3" ht="14.45" customHeight="1">
      <c r="B8" s="54" t="s">
        <v>62</v>
      </c>
      <c r="C8" s="51" t="s">
        <v>87</v>
      </c>
    </row>
    <row r="9" spans="2:3" ht="14.45" customHeight="1">
      <c r="B9" s="55" t="s">
        <v>63</v>
      </c>
      <c r="C9" s="51" t="s">
        <v>118</v>
      </c>
    </row>
    <row r="10" spans="2:3" ht="14.45" customHeight="1">
      <c r="B10" s="56" t="s">
        <v>64</v>
      </c>
      <c r="C10" s="51" t="s">
        <v>119</v>
      </c>
    </row>
    <row r="11" spans="2:3" ht="14.45" customHeight="1">
      <c r="B11" s="57" t="s">
        <v>65</v>
      </c>
      <c r="C11" s="51" t="s">
        <v>120</v>
      </c>
    </row>
    <row r="12" spans="2:3" ht="14.45" customHeight="1">
      <c r="B12" s="58" t="s">
        <v>66</v>
      </c>
      <c r="C12" s="51" t="s">
        <v>121</v>
      </c>
    </row>
    <row r="13" spans="2:3" ht="14.45" customHeight="1">
      <c r="B13" s="105" t="s">
        <v>67</v>
      </c>
      <c r="C13" s="51" t="s">
        <v>122</v>
      </c>
    </row>
    <row r="14" spans="2:3" ht="14.45" customHeight="1">
      <c r="B14" s="59" t="s">
        <v>68</v>
      </c>
      <c r="C14" s="51" t="s">
        <v>99</v>
      </c>
    </row>
    <row r="15" spans="2:3" ht="14.45" customHeight="1">
      <c r="B15" s="60" t="s">
        <v>69</v>
      </c>
      <c r="C15" s="51" t="s">
        <v>123</v>
      </c>
    </row>
    <row r="16" spans="2:3" ht="18">
      <c r="B16" s="61" t="s">
        <v>70</v>
      </c>
      <c r="C16" s="62" t="s">
        <v>103</v>
      </c>
    </row>
    <row r="17" spans="2:3" ht="18">
      <c r="B17" s="106" t="s">
        <v>71</v>
      </c>
      <c r="C17" s="62" t="s">
        <v>105</v>
      </c>
    </row>
    <row r="18" spans="2:3" ht="18">
      <c r="B18" s="101" t="s">
        <v>72</v>
      </c>
      <c r="C18" s="62" t="s">
        <v>124</v>
      </c>
    </row>
    <row r="19" spans="2:3" ht="18">
      <c r="B19" s="102" t="s">
        <v>73</v>
      </c>
      <c r="C19" s="62" t="s">
        <v>110</v>
      </c>
    </row>
    <row r="20" spans="2:3">
      <c r="C20" s="63"/>
    </row>
    <row r="21" spans="2:3">
      <c r="B21" s="63"/>
      <c r="C21" s="63"/>
    </row>
    <row r="22" spans="2:3">
      <c r="B22" s="63"/>
      <c r="C22" s="63"/>
    </row>
    <row r="23" spans="2:3">
      <c r="B23" s="63"/>
      <c r="C23" s="63"/>
    </row>
    <row r="24" spans="2:3">
      <c r="B24" s="63"/>
      <c r="C24" s="63"/>
    </row>
    <row r="25" spans="2:3">
      <c r="B25" s="63"/>
      <c r="C25" s="63"/>
    </row>
    <row r="26" spans="2:3">
      <c r="B26" s="63"/>
      <c r="C26" s="63"/>
    </row>
    <row r="27" spans="2:3">
      <c r="B27" s="63"/>
      <c r="C27" s="63"/>
    </row>
    <row r="28" spans="2:3">
      <c r="B28" s="63"/>
      <c r="C28" s="63"/>
    </row>
    <row r="29" spans="2:3">
      <c r="B29" s="63"/>
      <c r="C29" s="63"/>
    </row>
    <row r="30" spans="2:3">
      <c r="B30" s="63"/>
      <c r="C30" s="63"/>
    </row>
    <row r="31" spans="2:3">
      <c r="B31" s="63"/>
      <c r="C31" s="63"/>
    </row>
    <row r="32" spans="2:3">
      <c r="C32" s="63"/>
    </row>
    <row r="33" spans="2:8">
      <c r="B33" s="63"/>
      <c r="C33" s="63"/>
    </row>
    <row r="34" spans="2:8" ht="18">
      <c r="B34" s="131" t="s">
        <v>125</v>
      </c>
      <c r="C34" s="132"/>
      <c r="E34" s="129" t="s">
        <v>126</v>
      </c>
      <c r="F34" s="130"/>
      <c r="G34" s="130"/>
      <c r="H34" s="133"/>
    </row>
    <row r="35" spans="2:8">
      <c r="B35" s="64" t="s">
        <v>127</v>
      </c>
      <c r="C35" s="65" t="s">
        <v>128</v>
      </c>
      <c r="E35" s="66" t="s">
        <v>129</v>
      </c>
      <c r="F35" s="67" t="s">
        <v>130</v>
      </c>
      <c r="G35" s="67" t="s">
        <v>128</v>
      </c>
      <c r="H35" s="68" t="s">
        <v>131</v>
      </c>
    </row>
    <row r="36" spans="2:8">
      <c r="B36" s="69" t="s">
        <v>132</v>
      </c>
      <c r="C36" s="70" t="s">
        <v>133</v>
      </c>
      <c r="E36" s="69" t="s">
        <v>134</v>
      </c>
      <c r="F36" s="69" t="s">
        <v>135</v>
      </c>
      <c r="G36" s="71" t="s">
        <v>136</v>
      </c>
      <c r="H36" s="72" t="s">
        <v>137</v>
      </c>
    </row>
    <row r="37" spans="2:8">
      <c r="B37" s="69" t="s">
        <v>138</v>
      </c>
      <c r="C37" s="71" t="s">
        <v>139</v>
      </c>
      <c r="E37" s="69" t="s">
        <v>140</v>
      </c>
      <c r="F37" s="73" t="s">
        <v>135</v>
      </c>
      <c r="G37" s="71" t="s">
        <v>136</v>
      </c>
      <c r="H37" s="72" t="s">
        <v>141</v>
      </c>
    </row>
    <row r="38" spans="2:8">
      <c r="B38" s="69" t="s">
        <v>142</v>
      </c>
      <c r="C38" s="70" t="s">
        <v>143</v>
      </c>
      <c r="E38" s="69" t="s">
        <v>144</v>
      </c>
      <c r="F38" s="73" t="s">
        <v>135</v>
      </c>
      <c r="G38" s="71" t="s">
        <v>136</v>
      </c>
      <c r="H38" s="72" t="s">
        <v>145</v>
      </c>
    </row>
    <row r="39" spans="2:8">
      <c r="B39" s="69" t="s">
        <v>146</v>
      </c>
      <c r="C39" s="71" t="s">
        <v>146</v>
      </c>
      <c r="E39" s="69" t="s">
        <v>147</v>
      </c>
      <c r="F39" s="73" t="s">
        <v>135</v>
      </c>
      <c r="G39" s="71" t="s">
        <v>136</v>
      </c>
      <c r="H39" s="72" t="s">
        <v>141</v>
      </c>
    </row>
    <row r="40" spans="2:8">
      <c r="B40" s="69" t="s">
        <v>135</v>
      </c>
      <c r="C40" s="70" t="s">
        <v>136</v>
      </c>
      <c r="E40" s="69" t="s">
        <v>148</v>
      </c>
      <c r="F40" s="73" t="s">
        <v>135</v>
      </c>
      <c r="G40" s="71" t="s">
        <v>136</v>
      </c>
      <c r="H40" s="72" t="s">
        <v>149</v>
      </c>
    </row>
    <row r="41" spans="2:8">
      <c r="B41" s="69" t="s">
        <v>150</v>
      </c>
      <c r="C41" s="71" t="s">
        <v>151</v>
      </c>
      <c r="E41" s="69" t="s">
        <v>152</v>
      </c>
      <c r="F41" s="73" t="s">
        <v>135</v>
      </c>
      <c r="G41" s="71" t="s">
        <v>136</v>
      </c>
      <c r="H41" s="72" t="s">
        <v>153</v>
      </c>
    </row>
    <row r="42" spans="2:8">
      <c r="B42" s="69" t="s">
        <v>154</v>
      </c>
      <c r="C42" s="70" t="s">
        <v>155</v>
      </c>
      <c r="E42" s="69" t="s">
        <v>156</v>
      </c>
      <c r="F42" s="73" t="s">
        <v>154</v>
      </c>
      <c r="G42" s="73" t="s">
        <v>155</v>
      </c>
      <c r="H42" s="72" t="s">
        <v>157</v>
      </c>
    </row>
    <row r="43" spans="2:8">
      <c r="B43" s="69" t="s">
        <v>158</v>
      </c>
      <c r="C43" s="71" t="s">
        <v>159</v>
      </c>
      <c r="E43" s="69" t="s">
        <v>160</v>
      </c>
      <c r="F43" s="73" t="s">
        <v>154</v>
      </c>
      <c r="G43" s="73" t="s">
        <v>155</v>
      </c>
      <c r="H43" s="72" t="s">
        <v>161</v>
      </c>
    </row>
    <row r="44" spans="2:8">
      <c r="B44" s="69" t="s">
        <v>162</v>
      </c>
      <c r="C44" s="70" t="s">
        <v>163</v>
      </c>
      <c r="E44" s="69" t="s">
        <v>164</v>
      </c>
      <c r="F44" s="73" t="s">
        <v>154</v>
      </c>
      <c r="G44" s="73" t="s">
        <v>155</v>
      </c>
      <c r="H44" s="74" t="s">
        <v>165</v>
      </c>
    </row>
    <row r="45" spans="2:8">
      <c r="B45" s="69" t="s">
        <v>166</v>
      </c>
      <c r="C45" s="71" t="s">
        <v>167</v>
      </c>
      <c r="E45" s="37" t="s">
        <v>168</v>
      </c>
      <c r="F45" s="73" t="s">
        <v>154</v>
      </c>
      <c r="G45" s="73" t="s">
        <v>155</v>
      </c>
      <c r="H45" s="75" t="s">
        <v>169</v>
      </c>
    </row>
    <row r="46" spans="2:8">
      <c r="B46" s="69" t="s">
        <v>170</v>
      </c>
      <c r="C46" s="70" t="s">
        <v>171</v>
      </c>
    </row>
    <row r="47" spans="2:8">
      <c r="B47" s="69" t="s">
        <v>172</v>
      </c>
      <c r="C47" s="71" t="s">
        <v>173</v>
      </c>
    </row>
    <row r="48" spans="2:8">
      <c r="B48" s="76" t="s">
        <v>174</v>
      </c>
      <c r="C48" s="77" t="s">
        <v>175</v>
      </c>
    </row>
    <row r="49" spans="2:6" ht="18">
      <c r="B49" s="76" t="s">
        <v>176</v>
      </c>
      <c r="C49" s="78" t="s">
        <v>177</v>
      </c>
      <c r="E49" s="129" t="s">
        <v>178</v>
      </c>
      <c r="F49" s="130"/>
    </row>
    <row r="50" spans="2:6">
      <c r="E50" s="64" t="s">
        <v>179</v>
      </c>
      <c r="F50" s="79" t="s">
        <v>180</v>
      </c>
    </row>
    <row r="51" spans="2:6">
      <c r="E51" s="69">
        <v>1</v>
      </c>
      <c r="F51" s="80" t="s">
        <v>181</v>
      </c>
    </row>
    <row r="52" spans="2:6">
      <c r="E52" s="69">
        <v>2</v>
      </c>
      <c r="F52" s="80" t="s">
        <v>182</v>
      </c>
    </row>
    <row r="53" spans="2:6">
      <c r="E53" s="69">
        <v>3</v>
      </c>
      <c r="F53" s="80" t="s">
        <v>183</v>
      </c>
    </row>
    <row r="54" spans="2:6">
      <c r="E54" s="69">
        <v>4</v>
      </c>
      <c r="F54" s="80" t="s">
        <v>184</v>
      </c>
    </row>
    <row r="55" spans="2:6">
      <c r="E55" s="69">
        <v>5</v>
      </c>
      <c r="F55" s="80" t="s">
        <v>185</v>
      </c>
    </row>
    <row r="56" spans="2:6">
      <c r="E56" s="69">
        <v>6</v>
      </c>
      <c r="F56" s="80" t="s">
        <v>186</v>
      </c>
    </row>
    <row r="57" spans="2:6">
      <c r="E57" s="69">
        <v>7</v>
      </c>
      <c r="F57" s="80" t="s">
        <v>187</v>
      </c>
    </row>
    <row r="58" spans="2:6">
      <c r="E58" s="69">
        <v>8</v>
      </c>
      <c r="F58" s="80" t="s">
        <v>188</v>
      </c>
    </row>
    <row r="59" spans="2:6">
      <c r="E59" s="69">
        <v>9</v>
      </c>
      <c r="F59" s="80" t="s">
        <v>189</v>
      </c>
    </row>
    <row r="60" spans="2:6" ht="18">
      <c r="B60" s="129" t="s">
        <v>190</v>
      </c>
      <c r="C60" s="130"/>
      <c r="E60" s="69">
        <v>10</v>
      </c>
      <c r="F60" s="80" t="s">
        <v>191</v>
      </c>
    </row>
    <row r="61" spans="2:6">
      <c r="B61" s="64" t="s">
        <v>192</v>
      </c>
      <c r="C61" s="79" t="s">
        <v>193</v>
      </c>
      <c r="E61" s="69">
        <v>11</v>
      </c>
      <c r="F61" s="80" t="s">
        <v>194</v>
      </c>
    </row>
    <row r="62" spans="2:6">
      <c r="B62" s="69" t="s">
        <v>195</v>
      </c>
      <c r="C62" s="81" t="s">
        <v>196</v>
      </c>
      <c r="E62" s="76">
        <v>12</v>
      </c>
      <c r="F62" s="82" t="s">
        <v>197</v>
      </c>
    </row>
    <row r="63" spans="2:6">
      <c r="B63" s="69" t="s">
        <v>198</v>
      </c>
      <c r="C63" s="36" t="s">
        <v>199</v>
      </c>
    </row>
    <row r="64" spans="2:6">
      <c r="B64" s="76" t="s">
        <v>200</v>
      </c>
      <c r="C64" s="83" t="s">
        <v>201</v>
      </c>
    </row>
    <row r="67" spans="2:9" ht="21">
      <c r="B67" s="31"/>
      <c r="C67" s="31"/>
      <c r="D67" s="31"/>
      <c r="E67" s="31"/>
      <c r="F67" s="39"/>
      <c r="G67" s="31"/>
      <c r="H67" s="28"/>
      <c r="I67" s="28"/>
    </row>
    <row r="69" spans="2:9">
      <c r="B69" s="1" t="s">
        <v>202</v>
      </c>
      <c r="C69" s="1" t="s">
        <v>203</v>
      </c>
    </row>
    <row r="70" spans="2:9">
      <c r="B70" s="46" t="s">
        <v>204</v>
      </c>
      <c r="C70" s="47">
        <v>46286</v>
      </c>
    </row>
    <row r="71" spans="2:9">
      <c r="B71" s="85"/>
      <c r="C71" s="86"/>
    </row>
  </sheetData>
  <mergeCells count="5">
    <mergeCell ref="B60:C60"/>
    <mergeCell ref="B3:C3"/>
    <mergeCell ref="B34:C34"/>
    <mergeCell ref="E34:H34"/>
    <mergeCell ref="E49:F49"/>
  </mergeCells>
  <phoneticPr fontId="14" type="noConversion"/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0E6C23FA1C47C44B3B6234C8DCFC88E" ma:contentTypeVersion="3" ma:contentTypeDescription="Crear nuevo documento." ma:contentTypeScope="" ma:versionID="fed00ab2d7e841ed48a6c86263e2b5f2">
  <xsd:schema xmlns:xsd="http://www.w3.org/2001/XMLSchema" xmlns:xs="http://www.w3.org/2001/XMLSchema" xmlns:p="http://schemas.microsoft.com/office/2006/metadata/properties" xmlns:ns2="8ba410ae-b3ae-4948-897b-a6927fe3c840" targetNamespace="http://schemas.microsoft.com/office/2006/metadata/properties" ma:root="true" ma:fieldsID="035569e8a1d81515b35feb2a5b006896" ns2:_="">
    <xsd:import namespace="8ba410ae-b3ae-4948-897b-a6927fe3c84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a410ae-b3ae-4948-897b-a6927fe3c8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170E407-1A7F-401F-B40B-7782B191F64E}"/>
</file>

<file path=customXml/itemProps2.xml><?xml version="1.0" encoding="utf-8"?>
<ds:datastoreItem xmlns:ds="http://schemas.openxmlformats.org/officeDocument/2006/customXml" ds:itemID="{9653BA58-B037-49C4-AA75-7C015FC50040}"/>
</file>

<file path=customXml/itemProps3.xml><?xml version="1.0" encoding="utf-8"?>
<ds:datastoreItem xmlns:ds="http://schemas.openxmlformats.org/officeDocument/2006/customXml" ds:itemID="{80F8F527-E15B-4026-B968-582AACA30B0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2026-04-28T06:47:25Z</dcterms:created>
  <dcterms:modified xsi:type="dcterms:W3CDTF">2026-09-02T03:01:22Z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0x01010000E6C23FA1C47C44B3B6234C8DCFC88E</vt:lpwstr>
  </property>
</Properties>
</file>